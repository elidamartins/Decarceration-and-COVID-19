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da\Documents\Doutorado\Modelagem_simulação_UFS\Modelo_final\final\prisao\ARQUIVO_GITHUB\"/>
    </mc:Choice>
  </mc:AlternateContent>
  <xr:revisionPtr revIDLastSave="0" documentId="13_ncr:1_{2F95B3AA-A673-4078-BBCE-78ADFE727D3F}" xr6:coauthVersionLast="47" xr6:coauthVersionMax="47" xr10:uidLastSave="{00000000-0000-0000-0000-000000000000}"/>
  <bookViews>
    <workbookView xWindow="-120" yWindow="-120" windowWidth="20730" windowHeight="11040" xr2:uid="{E48B05A9-9BA9-49A0-9EE7-D9FBF55EED1F}"/>
  </bookViews>
  <sheets>
    <sheet name="Identificação" sheetId="1" r:id="rId1"/>
    <sheet name="2019" sheetId="2" r:id="rId2"/>
    <sheet name="2020" sheetId="3" r:id="rId3"/>
    <sheet name="2021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3" i="3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3" i="2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" i="4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" i="3"/>
  <c r="C3" i="3"/>
  <c r="C4" i="3"/>
  <c r="T4" i="3" s="1"/>
  <c r="U4" i="3" s="1"/>
  <c r="V4" i="3" s="1"/>
  <c r="C5" i="3"/>
  <c r="C6" i="3"/>
  <c r="C7" i="3"/>
  <c r="C8" i="3"/>
  <c r="C9" i="3"/>
  <c r="C10" i="3"/>
  <c r="C11" i="3"/>
  <c r="C12" i="3"/>
  <c r="T12" i="3" s="1"/>
  <c r="U12" i="3" s="1"/>
  <c r="V12" i="3" s="1"/>
  <c r="C13" i="3"/>
  <c r="C14" i="3"/>
  <c r="C15" i="3"/>
  <c r="C16" i="3"/>
  <c r="C17" i="3"/>
  <c r="C18" i="3"/>
  <c r="C19" i="3"/>
  <c r="C20" i="3"/>
  <c r="T20" i="3" s="1"/>
  <c r="U20" i="3" s="1"/>
  <c r="V20" i="3" s="1"/>
  <c r="C21" i="3"/>
  <c r="C22" i="3"/>
  <c r="C23" i="3"/>
  <c r="T23" i="3" s="1"/>
  <c r="U23" i="3" s="1"/>
  <c r="V23" i="3" s="1"/>
  <c r="C24" i="3"/>
  <c r="T24" i="3" s="1"/>
  <c r="U24" i="3" s="1"/>
  <c r="V24" i="3" s="1"/>
  <c r="C2" i="3"/>
  <c r="P2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3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3" i="2"/>
  <c r="Q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" i="2"/>
  <c r="C3" i="2"/>
  <c r="T3" i="2" s="1"/>
  <c r="U3" i="2" s="1"/>
  <c r="V3" i="2" s="1"/>
  <c r="C4" i="2"/>
  <c r="C5" i="2"/>
  <c r="C6" i="2"/>
  <c r="C7" i="2"/>
  <c r="C8" i="2"/>
  <c r="C9" i="2"/>
  <c r="C10" i="2"/>
  <c r="C11" i="2"/>
  <c r="T11" i="2" s="1"/>
  <c r="U11" i="2" s="1"/>
  <c r="V11" i="2" s="1"/>
  <c r="C12" i="2"/>
  <c r="C13" i="2"/>
  <c r="C14" i="2"/>
  <c r="C15" i="2"/>
  <c r="C16" i="2"/>
  <c r="C17" i="2"/>
  <c r="C18" i="2"/>
  <c r="C19" i="2"/>
  <c r="T19" i="2" s="1"/>
  <c r="U19" i="2" s="1"/>
  <c r="V19" i="2" s="1"/>
  <c r="C20" i="2"/>
  <c r="C21" i="2"/>
  <c r="C22" i="2"/>
  <c r="C23" i="2"/>
  <c r="T23" i="2" s="1"/>
  <c r="U23" i="2" s="1"/>
  <c r="V23" i="2" s="1"/>
  <c r="C24" i="2"/>
  <c r="T24" i="2" s="1"/>
  <c r="U24" i="2" s="1"/>
  <c r="V24" i="2" s="1"/>
  <c r="C2" i="2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" i="1"/>
  <c r="T18" i="3" l="1"/>
  <c r="U18" i="3" s="1"/>
  <c r="V18" i="3" s="1"/>
  <c r="T20" i="2"/>
  <c r="U20" i="2" s="1"/>
  <c r="V20" i="2" s="1"/>
  <c r="T12" i="2"/>
  <c r="U12" i="2" s="1"/>
  <c r="V12" i="2" s="1"/>
  <c r="T4" i="2"/>
  <c r="U4" i="2" s="1"/>
  <c r="V4" i="2" s="1"/>
  <c r="T21" i="3"/>
  <c r="U21" i="3" s="1"/>
  <c r="V21" i="3" s="1"/>
  <c r="T13" i="3"/>
  <c r="U13" i="3" s="1"/>
  <c r="V13" i="3" s="1"/>
  <c r="T5" i="3"/>
  <c r="U5" i="3" s="1"/>
  <c r="V5" i="3" s="1"/>
  <c r="T18" i="2"/>
  <c r="U18" i="2" s="1"/>
  <c r="V18" i="2" s="1"/>
  <c r="T10" i="2"/>
  <c r="U10" i="2" s="1"/>
  <c r="V10" i="2" s="1"/>
  <c r="T19" i="3"/>
  <c r="U19" i="3" s="1"/>
  <c r="V19" i="3" s="1"/>
  <c r="T11" i="3"/>
  <c r="U11" i="3" s="1"/>
  <c r="V11" i="3" s="1"/>
  <c r="T3" i="3"/>
  <c r="U3" i="3" s="1"/>
  <c r="V3" i="3" s="1"/>
  <c r="T16" i="2"/>
  <c r="U16" i="2" s="1"/>
  <c r="V16" i="2" s="1"/>
  <c r="T8" i="2"/>
  <c r="U8" i="2" s="1"/>
  <c r="V8" i="2" s="1"/>
  <c r="T2" i="3"/>
  <c r="U2" i="3" s="1"/>
  <c r="V2" i="3" s="1"/>
  <c r="T17" i="3"/>
  <c r="U17" i="3" s="1"/>
  <c r="V17" i="3" s="1"/>
  <c r="T9" i="3"/>
  <c r="U9" i="3" s="1"/>
  <c r="V9" i="3" s="1"/>
  <c r="T17" i="2"/>
  <c r="U17" i="2" s="1"/>
  <c r="V17" i="2" s="1"/>
  <c r="T10" i="3"/>
  <c r="U10" i="3" s="1"/>
  <c r="V10" i="3" s="1"/>
  <c r="T15" i="2"/>
  <c r="U15" i="2" s="1"/>
  <c r="V15" i="2" s="1"/>
  <c r="T7" i="2"/>
  <c r="U7" i="2" s="1"/>
  <c r="V7" i="2" s="1"/>
  <c r="T16" i="3"/>
  <c r="U16" i="3" s="1"/>
  <c r="V16" i="3" s="1"/>
  <c r="T8" i="3"/>
  <c r="U8" i="3" s="1"/>
  <c r="V8" i="3" s="1"/>
  <c r="T9" i="2"/>
  <c r="U9" i="2" s="1"/>
  <c r="V9" i="2" s="1"/>
  <c r="T22" i="2"/>
  <c r="U22" i="2" s="1"/>
  <c r="V22" i="2" s="1"/>
  <c r="T14" i="2"/>
  <c r="U14" i="2" s="1"/>
  <c r="V14" i="2" s="1"/>
  <c r="T6" i="2"/>
  <c r="U6" i="2" s="1"/>
  <c r="V6" i="2" s="1"/>
  <c r="T15" i="3"/>
  <c r="U15" i="3" s="1"/>
  <c r="V15" i="3" s="1"/>
  <c r="T7" i="3"/>
  <c r="U7" i="3" s="1"/>
  <c r="V7" i="3" s="1"/>
  <c r="T2" i="2"/>
  <c r="U2" i="2" s="1"/>
  <c r="V2" i="2" s="1"/>
  <c r="T21" i="2"/>
  <c r="U21" i="2" s="1"/>
  <c r="V21" i="2" s="1"/>
  <c r="T13" i="2"/>
  <c r="U13" i="2" s="1"/>
  <c r="V13" i="2" s="1"/>
  <c r="T5" i="2"/>
  <c r="U5" i="2" s="1"/>
  <c r="V5" i="2" s="1"/>
  <c r="T22" i="3"/>
  <c r="U22" i="3" s="1"/>
  <c r="V22" i="3" s="1"/>
  <c r="T14" i="3"/>
  <c r="U14" i="3" s="1"/>
  <c r="V14" i="3" s="1"/>
  <c r="T6" i="3"/>
  <c r="U6" i="3" s="1"/>
  <c r="V6" i="3" s="1"/>
</calcChain>
</file>

<file path=xl/sharedStrings.xml><?xml version="1.0" encoding="utf-8"?>
<sst xmlns="http://schemas.openxmlformats.org/spreadsheetml/2006/main" count="339" uniqueCount="154">
  <si>
    <t>0169MO31310620002</t>
  </si>
  <si>
    <t>0169</t>
  </si>
  <si>
    <t>MO</t>
  </si>
  <si>
    <t>Minas Gerais</t>
  </si>
  <si>
    <t>Belo Horizonte</t>
  </si>
  <si>
    <t>3106200</t>
  </si>
  <si>
    <t>Unidade Gestora de Monitoração Eletrônica de Belo Horizonte I - DOMICILIAR</t>
  </si>
  <si>
    <t>0170EF31310620011</t>
  </si>
  <si>
    <t>0170</t>
  </si>
  <si>
    <t>EF</t>
  </si>
  <si>
    <t>Penitenciária de Belo Horizonte I - Estevão Pinto</t>
  </si>
  <si>
    <t>0171EF31311430300</t>
  </si>
  <si>
    <t>0171</t>
  </si>
  <si>
    <t>Carmo do Paranaíba</t>
  </si>
  <si>
    <t>3114303</t>
  </si>
  <si>
    <t>Penitenciária de Carmo do Parnaíba I</t>
  </si>
  <si>
    <t>0172EF31311860112</t>
  </si>
  <si>
    <t>0172</t>
  </si>
  <si>
    <t>Contagem</t>
  </si>
  <si>
    <t>3118601</t>
  </si>
  <si>
    <t>Penitenciária de Contagem I - Nelson Hungria</t>
  </si>
  <si>
    <t>0173EF31312610910</t>
  </si>
  <si>
    <t>0173</t>
  </si>
  <si>
    <t>Formiga</t>
  </si>
  <si>
    <t>3126109</t>
  </si>
  <si>
    <t>Penitenciária de Formiga I</t>
  </si>
  <si>
    <t>0174EF31312770100</t>
  </si>
  <si>
    <t>0174</t>
  </si>
  <si>
    <t>Governador Valadares</t>
  </si>
  <si>
    <t>3127701</t>
  </si>
  <si>
    <t>Penitenciária de Governador Valadares I - Francisco Floriano de Paula</t>
  </si>
  <si>
    <t>0175EF31313115800</t>
  </si>
  <si>
    <t>0175</t>
  </si>
  <si>
    <t>Ipaba</t>
  </si>
  <si>
    <t>3131158</t>
  </si>
  <si>
    <t>Penitenciária de Ipaba I - Dênio Moreira de Carvalho</t>
  </si>
  <si>
    <t>0176EF31313670212</t>
  </si>
  <si>
    <t>0176</t>
  </si>
  <si>
    <t>Juiz de Fora</t>
  </si>
  <si>
    <t>3136702</t>
  </si>
  <si>
    <t>Penitenciária de Juiz de Fora I - José Edson Cavalieri</t>
  </si>
  <si>
    <t>0177EF31313670202</t>
  </si>
  <si>
    <t>0177</t>
  </si>
  <si>
    <t>Penitenciária de Juiz de Fora II</t>
  </si>
  <si>
    <t>0178EF31314390610</t>
  </si>
  <si>
    <t>0178</t>
  </si>
  <si>
    <t>Muriaé</t>
  </si>
  <si>
    <t>3143906</t>
  </si>
  <si>
    <t>5432588</t>
  </si>
  <si>
    <t>Penitenciária de Muriaé I</t>
  </si>
  <si>
    <t>0179EF31314710512</t>
  </si>
  <si>
    <t>0179</t>
  </si>
  <si>
    <t>Pará de Minas</t>
  </si>
  <si>
    <t>3147105</t>
  </si>
  <si>
    <t>Penitenciária de Pará de Minas I - Doutor Pio Soares Canedo</t>
  </si>
  <si>
    <t>0180EF31314810310</t>
  </si>
  <si>
    <t>0180</t>
  </si>
  <si>
    <t>Patrocínio</t>
  </si>
  <si>
    <t>3148103</t>
  </si>
  <si>
    <t>Penitenciária de Patrocínio I</t>
  </si>
  <si>
    <t>0181EF31315210510</t>
  </si>
  <si>
    <t>0181</t>
  </si>
  <si>
    <t>Ponte Nova</t>
  </si>
  <si>
    <t>3152105</t>
  </si>
  <si>
    <t>Penitenciária de Ponte Nova I</t>
  </si>
  <si>
    <t>0182EF31315460612</t>
  </si>
  <si>
    <t>0182</t>
  </si>
  <si>
    <t>Ribeirão das Neves</t>
  </si>
  <si>
    <t>3154606</t>
  </si>
  <si>
    <t>Penitenciária de Ribeirão das Neves I - José Maria Alkimin</t>
  </si>
  <si>
    <t>0183EF31316292210</t>
  </si>
  <si>
    <t>0183</t>
  </si>
  <si>
    <t>São Joaquim de Bicas</t>
  </si>
  <si>
    <t>3162922</t>
  </si>
  <si>
    <t>Penitenciária de São Joaquim de Bicas I - Professor Jason Soares de Albergaria</t>
  </si>
  <si>
    <t>0184EF31312670310</t>
  </si>
  <si>
    <t>0184</t>
  </si>
  <si>
    <t>Francisco Sá</t>
  </si>
  <si>
    <t>3126703</t>
  </si>
  <si>
    <t>Penitenciária de Segurança Máxima de Francisco Sá I</t>
  </si>
  <si>
    <t>0185EF31316860600</t>
  </si>
  <si>
    <t>0185</t>
  </si>
  <si>
    <t>Teófilo Otoni</t>
  </si>
  <si>
    <t>3168606</t>
  </si>
  <si>
    <t>Penitenciária de Teófilo Otoni I</t>
  </si>
  <si>
    <t>0186EF31316930702</t>
  </si>
  <si>
    <t>0186</t>
  </si>
  <si>
    <t>Três Corações</t>
  </si>
  <si>
    <t>3169307</t>
  </si>
  <si>
    <t>Penitenciária de Três Corações I</t>
  </si>
  <si>
    <t>0187EF31317010712</t>
  </si>
  <si>
    <t>0187</t>
  </si>
  <si>
    <t>Uberaba</t>
  </si>
  <si>
    <t>3170107</t>
  </si>
  <si>
    <t>Penitenciária de Uberaba I</t>
  </si>
  <si>
    <t>0188EF31317020612</t>
  </si>
  <si>
    <t>0188</t>
  </si>
  <si>
    <t>Uberlândia</t>
  </si>
  <si>
    <t>3170206</t>
  </si>
  <si>
    <t>Penitenciária de Uberlândia I - Professor João Pimenta Da Veiga</t>
  </si>
  <si>
    <t>0189EF31317040402</t>
  </si>
  <si>
    <t>0189</t>
  </si>
  <si>
    <t>Unaí</t>
  </si>
  <si>
    <t>3170404</t>
  </si>
  <si>
    <t>Penitenciária de Unaí I - Agostinho de Oliveira Júnior</t>
  </si>
  <si>
    <t>0227EF31315460610</t>
  </si>
  <si>
    <t>0227</t>
  </si>
  <si>
    <t>7403542</t>
  </si>
  <si>
    <t>Complexo Público Privado de Ribeirão das Neves I</t>
  </si>
  <si>
    <t>0228EF31315460610</t>
  </si>
  <si>
    <t>0228</t>
  </si>
  <si>
    <t>Complexo Público Privado de Ribeirão das Neves II</t>
  </si>
  <si>
    <t>CHAVE</t>
  </si>
  <si>
    <t>NUM</t>
  </si>
  <si>
    <t>TIPO</t>
  </si>
  <si>
    <t>CODESTA</t>
  </si>
  <si>
    <t>ESTADO</t>
  </si>
  <si>
    <t>MUNICIPIO</t>
  </si>
  <si>
    <t>CODMUN</t>
  </si>
  <si>
    <t>CNES</t>
  </si>
  <si>
    <t>CODCNES</t>
  </si>
  <si>
    <t>NOME</t>
  </si>
  <si>
    <t>GENER</t>
  </si>
  <si>
    <t>TEAP</t>
  </si>
  <si>
    <t>REGIME</t>
  </si>
  <si>
    <t>GESTAO</t>
  </si>
  <si>
    <t xml:space="preserve">7 - Material de limpeza </t>
  </si>
  <si>
    <t xml:space="preserve">8 - Material de escritório </t>
  </si>
  <si>
    <t>12 - Aquisição de equipamentos de segurança, de informática, veículos, móveis e imóveis</t>
  </si>
  <si>
    <t xml:space="preserve">15 - Material de higiene pessoal </t>
  </si>
  <si>
    <t xml:space="preserve">16 - Colchões, uniformes, roupas de cama e banho </t>
  </si>
  <si>
    <t>17- Recursos para assistência à saúde do preso (médica, odontológica, psicológica, terapia ocupacional, etc.)</t>
  </si>
  <si>
    <t>1- Salários com a administração penitenciária</t>
  </si>
  <si>
    <t>confere_sala</t>
  </si>
  <si>
    <t>confere_MGMDP</t>
  </si>
  <si>
    <t>confere_STIC</t>
  </si>
  <si>
    <t>6 - Transportes e combustíveis</t>
  </si>
  <si>
    <t>9 - Manutenção predial</t>
  </si>
  <si>
    <t xml:space="preserve">10 - Manutenção de equipamentos de segurança </t>
  </si>
  <si>
    <t xml:space="preserve">11 - Manutenção de equipamentos de informática </t>
  </si>
  <si>
    <t>confere_DSA</t>
  </si>
  <si>
    <t xml:space="preserve">14 - Alimentação </t>
  </si>
  <si>
    <t>confere_DIN</t>
  </si>
  <si>
    <t>confere_DTS</t>
  </si>
  <si>
    <t>confere_DTP</t>
  </si>
  <si>
    <t>2 - Salários com outras administrações</t>
  </si>
  <si>
    <t>3 - Pagamento a prestadores de serviço</t>
  </si>
  <si>
    <t>4 - Aluguéis de bens imóveis, móveis, veículos e equipamentos de informática</t>
  </si>
  <si>
    <t>5 - Água, luz, internet,  telefone, lixo e esgoto</t>
  </si>
  <si>
    <t>13 - Atividades laborais e educacionais</t>
  </si>
  <si>
    <t>Ocupação</t>
  </si>
  <si>
    <t>Total</t>
  </si>
  <si>
    <t>Total/ocup</t>
  </si>
  <si>
    <t>diaria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</si>
</sst>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"/>
    <numFmt numFmtId="165" formatCode="_-[$R$-416]\ * #,##0.00_-;\-[$R$-416]\ * #,##0.00_-;_-[$R$-416]\ * &quot;-&quot;??_-;_-@_-"/>
  </numFmts>
  <fonts count="3" x14ac:knownFonts="1">
    <font>
      <sz val="11"/>
      <color theme="1"/>
      <name val="Calibri"/>
      <family val="2"/>
      <scheme val="minor"/>
    </font>
    <font>
      <sz val="10"/>
      <color indexed="64"/>
      <name val="Microsoft Sans Serif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165" fontId="0" fillId="0" borderId="1" xfId="0" applyNumberForma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/>
    </xf>
    <xf numFmtId="0" fontId="0" fillId="0" borderId="1" xfId="0" applyBorder="1" applyAlignment="1">
      <alignment vertical="center" wrapText="1"/>
    </xf>
    <xf numFmtId="2" fontId="0" fillId="0" borderId="0" xfId="0" applyNumberFormat="1"/>
    <xf numFmtId="0" fontId="2" fillId="0" borderId="2" xfId="0" applyFont="1" applyBorder="1" applyAlignment="1">
      <alignment horizontal="justify" vertical="center"/>
    </xf>
    <xf numFmtId="165" fontId="0" fillId="0" borderId="0" xfId="0" applyNumberFormat="1"/>
    <xf numFmtId="49" fontId="1" fillId="0" borderId="0" xfId="0" applyNumberFormat="1" applyFont="1" applyBorder="1"/>
    <xf numFmtId="0" fontId="0" fillId="0" borderId="0" xfId="0" applyFont="1" applyBorder="1"/>
    <xf numFmtId="164" fontId="0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lida/Documents/Doutorado/Estudo%20de%20custo/LAI/RESPOSTAS/MG/SALAR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lida/Documents/Doutorado/Estudo%20de%20custo/LAI/RESPOSTAS/MG/Anexo%207%20-%20MG%20D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lida/Documents/Doutorado/Estudo%20de%20custo/LAI/RESPOSTAS/MG/Anexo%204%20-%20STI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lida/Documents/Doutorado/Estudo%20de%20custo/LAI/RESPOSTAS/MG/Anexo%205%20-%20DS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lida/Documents/Doutorado/Estudo%20de%20custo/LAI/RESPOSTAS/MG/Anexo%206%20-%20Planilha%20DI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lida/Documents/Doutorado/Estudo%20de%20custo/LAI/RESPOSTAS/MG/Anexo%208%20-%20Planilha%20DT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lida/Documents/Doutorado/Estudo%20de%20custo/LAI/RESPOSTAS/MG/Anexo%201%20-%20Planilha%20LAI%2001451000355202277%20DT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lida/Documents/Doutorado/Estudo%20de%20custo/LAI/RESPOSTAS/MG/Anexo%202%20-%20Lai%20Pop%20Capacidade%20un%20especific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9"/>
      <sheetName val="2020"/>
      <sheetName val="2021"/>
    </sheetNames>
    <sheetDataSet>
      <sheetData sheetId="0">
        <row r="1">
          <cell r="A1" t="str">
            <v>Identificação</v>
          </cell>
          <cell r="B1" t="str">
            <v>Unidade Exercício BO</v>
          </cell>
          <cell r="C1" t="str">
            <v>Estabelecimento</v>
          </cell>
        </row>
        <row r="2">
          <cell r="A2" t="str">
            <v>0169MO31310620002</v>
          </cell>
          <cell r="B2" t="str">
            <v>UNIDADE GESTORA DE MONITORACAO ELETRONICA (UGME)</v>
          </cell>
          <cell r="C2" t="str">
            <v>Unidade Gestora de Monitoração Eletrônica de Belo Horizonte I - DOMICILIAR</v>
          </cell>
          <cell r="D2">
            <v>7301291.200000002</v>
          </cell>
        </row>
        <row r="3">
          <cell r="A3" t="str">
            <v>0170EF31310620011</v>
          </cell>
          <cell r="B3" t="str">
            <v>COMPLEXO PENITENCIARIO FEMININO ESTEVAO PINTO</v>
          </cell>
          <cell r="C3" t="str">
            <v>Penitenciária de Belo Horizonte I - Estevão Pinto</v>
          </cell>
          <cell r="D3">
            <v>15251488.219999958</v>
          </cell>
        </row>
        <row r="4">
          <cell r="A4" t="str">
            <v>0171EF31311430300</v>
          </cell>
          <cell r="B4" t="str">
            <v>COMPLEXO PENITENCIARIO NOSSA SENHORA DO CARMO</v>
          </cell>
          <cell r="C4" t="str">
            <v>Penitenciária de Carmo do Parnaíba I</v>
          </cell>
          <cell r="D4">
            <v>12500357.49000006</v>
          </cell>
        </row>
        <row r="5">
          <cell r="A5" t="str">
            <v>0172EF31311860112</v>
          </cell>
          <cell r="B5" t="str">
            <v>COMPLEXO PENITENCIARIO NELSON HUNGRIA</v>
          </cell>
          <cell r="C5" t="str">
            <v>Penitenciária de Contagem I - Nelson Hungria</v>
          </cell>
          <cell r="D5">
            <v>46906685.900001235</v>
          </cell>
        </row>
        <row r="6">
          <cell r="A6" t="str">
            <v>0173EF31312610910</v>
          </cell>
          <cell r="B6" t="str">
            <v>PENITENCIARIA DE FORMIGA</v>
          </cell>
          <cell r="C6" t="str">
            <v>Penitenciária de Formiga I</v>
          </cell>
          <cell r="D6">
            <v>14076042.719999971</v>
          </cell>
        </row>
        <row r="7">
          <cell r="A7" t="str">
            <v>0174EF31312770100</v>
          </cell>
          <cell r="B7" t="str">
            <v>PENITENCIARIA FRANCISCO FLORIANO DE PAULA</v>
          </cell>
          <cell r="C7" t="str">
            <v>Penitenciária de Governador Valadares I - Francisco Floriano de Paula</v>
          </cell>
          <cell r="D7">
            <v>22983018.709999703</v>
          </cell>
        </row>
        <row r="8">
          <cell r="A8" t="str">
            <v>0175EF31313115800</v>
          </cell>
          <cell r="B8" t="str">
            <v>PENITENCIARIA DENIO MOREIRA DE CARVALHO</v>
          </cell>
          <cell r="C8" t="str">
            <v>Penitenciária de Ipaba I - Dênio Moreira de Carvalho</v>
          </cell>
          <cell r="D8">
            <v>18396286.289999738</v>
          </cell>
        </row>
        <row r="9">
          <cell r="A9" t="str">
            <v>0176EF31313670212</v>
          </cell>
          <cell r="B9" t="str">
            <v>PENITENCIARIA JOSE EDSON CAVALIERI</v>
          </cell>
          <cell r="C9" t="str">
            <v>Penitenciária de Juiz de Fora I - José Edson Cavalieri</v>
          </cell>
          <cell r="D9">
            <v>20529485.409999631</v>
          </cell>
        </row>
        <row r="10">
          <cell r="A10" t="str">
            <v>0177EF31313670202</v>
          </cell>
          <cell r="B10" t="str">
            <v>PENITENCIARIA PROFESSOR ARIOSVALDO CAMPOS PIRES</v>
          </cell>
          <cell r="C10" t="str">
            <v>Penitenciária de Juiz de Fora II</v>
          </cell>
          <cell r="D10">
            <v>21645455.779999468</v>
          </cell>
        </row>
        <row r="11">
          <cell r="A11" t="str">
            <v>0178EF31314390610</v>
          </cell>
          <cell r="B11" t="str">
            <v>PENITENCIARIA DR. MANOEL MARTINS LISBOA JUNIOR</v>
          </cell>
          <cell r="C11" t="str">
            <v>Penitenciária de Muriaé I</v>
          </cell>
          <cell r="D11">
            <v>15154379.469999887</v>
          </cell>
        </row>
        <row r="12">
          <cell r="A12" t="str">
            <v>0179EF31314710512</v>
          </cell>
          <cell r="B12" t="str">
            <v>COMPLEXO PENITENCIARIO DR. PIO CANEDO</v>
          </cell>
          <cell r="C12" t="str">
            <v>Penitenciária de Pará de Minas I - Doutor Pio Soares Canedo</v>
          </cell>
          <cell r="D12">
            <v>13137816.109999973</v>
          </cell>
        </row>
        <row r="13">
          <cell r="A13" t="str">
            <v>0180EF31314810310</v>
          </cell>
          <cell r="B13" t="str">
            <v>PRESIDIO DOUTOR EXPEDITO DE FARIA TAVARES</v>
          </cell>
          <cell r="C13" t="str">
            <v>Penitenciária de Patrocínio I</v>
          </cell>
          <cell r="D13">
            <v>21071367.979999635</v>
          </cell>
        </row>
        <row r="14">
          <cell r="A14" t="str">
            <v>0181EF31315210510</v>
          </cell>
          <cell r="B14" t="str">
            <v>COMPLEXO PENITENCIARIO DE PONTE NOVA</v>
          </cell>
          <cell r="C14" t="str">
            <v>Penitenciária de Ponte Nova I</v>
          </cell>
          <cell r="D14">
            <v>15452573.999999737</v>
          </cell>
        </row>
        <row r="15">
          <cell r="A15" t="str">
            <v>0182EF31315460612</v>
          </cell>
          <cell r="B15" t="str">
            <v>PENITENCIARIA JOSE MARIA ALKIMIN</v>
          </cell>
          <cell r="C15" t="str">
            <v>Penitenciária de Ribeirão das Neves I - José Maria Alkimin</v>
          </cell>
          <cell r="D15">
            <v>35339940.98000022</v>
          </cell>
        </row>
        <row r="16">
          <cell r="A16" t="str">
            <v>0183EF31316292210</v>
          </cell>
          <cell r="B16" t="str">
            <v>PRESIDIO DE SAO JOAQUIM DE BICAS</v>
          </cell>
          <cell r="C16" t="str">
            <v>Penitenciária de São Joaquim de Bicas I - Professor Jason Soares de Albergaria</v>
          </cell>
          <cell r="D16">
            <v>21274115.139999639</v>
          </cell>
        </row>
        <row r="17">
          <cell r="A17" t="str">
            <v>0184EF31312670310</v>
          </cell>
          <cell r="B17" t="str">
            <v>PENITENCIARIA DE FRANCISCO SA</v>
          </cell>
          <cell r="C17" t="str">
            <v>Penitenciária de Segurança Máxima de Francisco Sá I</v>
          </cell>
          <cell r="D17">
            <v>15322042.669999905</v>
          </cell>
        </row>
        <row r="18">
          <cell r="A18" t="str">
            <v>0185EF31316860600</v>
          </cell>
          <cell r="B18" t="str">
            <v>PENITENCIARIA DE TEOFILO OTONI</v>
          </cell>
          <cell r="C18" t="str">
            <v>Penitenciária de Teófilo Otoni I</v>
          </cell>
          <cell r="D18">
            <v>17761554.139999941</v>
          </cell>
        </row>
        <row r="19">
          <cell r="A19" t="str">
            <v>0186EF31316930702</v>
          </cell>
          <cell r="B19" t="str">
            <v>PENITENCIARIA DE TRES CORACOES</v>
          </cell>
          <cell r="C19" t="str">
            <v>Penitenciária de Três Corações I</v>
          </cell>
          <cell r="D19">
            <v>19426016.189999811</v>
          </cell>
        </row>
        <row r="20">
          <cell r="A20" t="str">
            <v>0187EF31317010712</v>
          </cell>
          <cell r="B20" t="str">
            <v>PENITENCIARIA PROFESSOR ALUIZIO IGNACIO DE OLIVEIRA</v>
          </cell>
          <cell r="C20" t="str">
            <v>Penitenciária de Uberaba I</v>
          </cell>
          <cell r="D20">
            <v>18825818.70999964</v>
          </cell>
        </row>
        <row r="21">
          <cell r="A21" t="str">
            <v>0188EF31317020612</v>
          </cell>
          <cell r="B21" t="str">
            <v>PENITENCIARIA PROFESSOR JOAO PIMENTA DA VEIGA</v>
          </cell>
          <cell r="C21" t="str">
            <v>Penitenciária de Uberlândia I - Professor João Pimenta Da Veiga</v>
          </cell>
          <cell r="D21">
            <v>12186498.900000017</v>
          </cell>
        </row>
        <row r="22">
          <cell r="A22" t="str">
            <v>0189EF31317040402</v>
          </cell>
          <cell r="B22" t="str">
            <v>PENITENCIARIA AGOSTINHO DE OLIVEIRA JUNIOR</v>
          </cell>
          <cell r="C22" t="str">
            <v>Penitenciária de Unaí I - Agostinho de Oliveira Júnior</v>
          </cell>
          <cell r="D22">
            <v>22244037.689999703</v>
          </cell>
        </row>
      </sheetData>
      <sheetData sheetId="1">
        <row r="1">
          <cell r="A1" t="str">
            <v>Identificação</v>
          </cell>
          <cell r="B1" t="str">
            <v>Unidade Exercício BO</v>
          </cell>
          <cell r="C1" t="str">
            <v>Estabelecimento</v>
          </cell>
          <cell r="D1" t="str">
            <v>1- Salários com a administração penitenciária</v>
          </cell>
        </row>
        <row r="2">
          <cell r="A2" t="str">
            <v>0169MO31310620002</v>
          </cell>
          <cell r="B2" t="str">
            <v>UNIDADE GESTORA DE MONITORACAO ELETRONICA (UGME)</v>
          </cell>
          <cell r="C2" t="str">
            <v>Unidade Gestora de Monitoração Eletrônica de Belo Horizonte I - DOMICILIAR</v>
          </cell>
          <cell r="D2">
            <v>7655672.3700000355</v>
          </cell>
        </row>
        <row r="3">
          <cell r="A3" t="str">
            <v>0170EF31310620011</v>
          </cell>
          <cell r="B3" t="str">
            <v>COMPLEXO PENITENCIARIO FEMININO ESTEVAO PINTO</v>
          </cell>
          <cell r="C3" t="str">
            <v>Penitenciária de Belo Horizonte I - Estevão Pinto</v>
          </cell>
          <cell r="D3">
            <v>15326601.919999838</v>
          </cell>
        </row>
        <row r="4">
          <cell r="A4" t="str">
            <v>0171EF31311430300</v>
          </cell>
          <cell r="B4" t="str">
            <v>COMPLEXO PENITENCIARIO NOSSA SENHORA DO CARMO</v>
          </cell>
          <cell r="C4" t="str">
            <v>Penitenciária de Carmo do Parnaíba I</v>
          </cell>
          <cell r="D4">
            <v>13885613.979999747</v>
          </cell>
        </row>
        <row r="5">
          <cell r="A5" t="str">
            <v>0172EF31311860112</v>
          </cell>
          <cell r="B5" t="str">
            <v>COMPLEXO PENITENCIARIO NELSON HUNGRIA</v>
          </cell>
          <cell r="C5" t="str">
            <v>Penitenciária de Contagem I - Nelson Hungria</v>
          </cell>
          <cell r="D5">
            <v>51521504.42999927</v>
          </cell>
        </row>
        <row r="6">
          <cell r="A6" t="str">
            <v>0173EF31312610910</v>
          </cell>
          <cell r="B6" t="str">
            <v>PENITENCIARIA DE FORMIGA</v>
          </cell>
          <cell r="C6" t="str">
            <v>Penitenciária de Formiga I</v>
          </cell>
          <cell r="D6">
            <v>15060429.859999934</v>
          </cell>
        </row>
        <row r="7">
          <cell r="A7" t="str">
            <v>0174EF31312770100</v>
          </cell>
          <cell r="B7" t="str">
            <v>PENITENCIARIA FRANCISCO FLORIANO DE PAULA</v>
          </cell>
          <cell r="C7" t="str">
            <v>Penitenciária de Governador Valadares I - Francisco Floriano de Paula</v>
          </cell>
          <cell r="D7">
            <v>24483427.870000016</v>
          </cell>
        </row>
        <row r="8">
          <cell r="A8" t="str">
            <v>0175EF31313115800</v>
          </cell>
          <cell r="B8" t="str">
            <v>PENITENCIARIA DENIO MOREIRA DE CARVALHO</v>
          </cell>
          <cell r="C8" t="str">
            <v>Penitenciária de Ipaba I - Dênio Moreira de Carvalho</v>
          </cell>
          <cell r="D8">
            <v>20186944.219999816</v>
          </cell>
        </row>
        <row r="9">
          <cell r="A9" t="str">
            <v>0176EF31313670212</v>
          </cell>
          <cell r="B9" t="str">
            <v>PENITENCIARIA JOSE EDSON CAVALIERI</v>
          </cell>
          <cell r="C9" t="str">
            <v>Penitenciária de Juiz de Fora I - José Edson Cavalieri</v>
          </cell>
          <cell r="D9">
            <v>25665550.969999876</v>
          </cell>
        </row>
        <row r="10">
          <cell r="A10" t="str">
            <v>0177EF31313670202</v>
          </cell>
          <cell r="B10" t="str">
            <v>PENITENCIARIA PROFESSOR ARIOSVALDO CAMPOS PIRES</v>
          </cell>
          <cell r="C10" t="str">
            <v>Penitenciária de Juiz de Fora II</v>
          </cell>
          <cell r="D10">
            <v>21323538.709999796</v>
          </cell>
        </row>
        <row r="11">
          <cell r="A11" t="str">
            <v>0178EF31314390610</v>
          </cell>
          <cell r="B11" t="str">
            <v>PENITENCIARIA DR. MANOEL MARTINS LISBOA JUNIOR</v>
          </cell>
          <cell r="C11" t="str">
            <v>Penitenciária de Muriaé I</v>
          </cell>
          <cell r="D11">
            <v>16468214.499999804</v>
          </cell>
        </row>
        <row r="12">
          <cell r="A12" t="str">
            <v>0179EF31314710512</v>
          </cell>
          <cell r="B12" t="str">
            <v>COMPLEXO PENITENCIARIO DR. PIO CANEDO</v>
          </cell>
          <cell r="C12" t="str">
            <v>Penitenciária de Pará de Minas I - Doutor Pio Soares Canedo</v>
          </cell>
          <cell r="D12">
            <v>14262089.639999822</v>
          </cell>
        </row>
        <row r="13">
          <cell r="A13" t="str">
            <v>0180EF31314810310</v>
          </cell>
          <cell r="B13" t="str">
            <v>PRESIDIO DOUTOR EXPEDITO DE FARIA TAVARES</v>
          </cell>
          <cell r="C13" t="str">
            <v>Penitenciária de Patrocínio I</v>
          </cell>
          <cell r="D13">
            <v>22805163.560000177</v>
          </cell>
        </row>
        <row r="14">
          <cell r="A14" t="str">
            <v>0181EF31315210510</v>
          </cell>
          <cell r="B14" t="str">
            <v>COMPLEXO PENITENCIARIO DE PONTE NOVA</v>
          </cell>
          <cell r="C14" t="str">
            <v>Penitenciária de Ponte Nova I</v>
          </cell>
          <cell r="D14">
            <v>16771203.839999547</v>
          </cell>
        </row>
        <row r="15">
          <cell r="A15" t="str">
            <v>0182EF31315460612</v>
          </cell>
          <cell r="B15" t="str">
            <v>PENITENCIARIA JOSE MARIA ALKIMIN</v>
          </cell>
          <cell r="C15" t="str">
            <v>Penitenciária de Ribeirão das Neves I - José Maria Alkimin</v>
          </cell>
          <cell r="D15">
            <v>37598007.59999983</v>
          </cell>
        </row>
        <row r="16">
          <cell r="A16" t="str">
            <v>0183EF31316292210</v>
          </cell>
          <cell r="B16" t="str">
            <v>PRESIDIO DE SAO JOAQUIM DE BICAS</v>
          </cell>
          <cell r="C16" t="str">
            <v>Penitenciária de São Joaquim de Bicas I - Professor Jason Soares de Albergaria</v>
          </cell>
          <cell r="D16">
            <v>22500162.570000008</v>
          </cell>
        </row>
        <row r="17">
          <cell r="A17" t="str">
            <v>0184EF31312670310</v>
          </cell>
          <cell r="B17" t="str">
            <v>PENITENCIARIA DE FRANCISCO SA</v>
          </cell>
          <cell r="C17" t="str">
            <v>Penitenciária de Segurança Máxima de Francisco Sá I</v>
          </cell>
          <cell r="D17">
            <v>18034551.540000007</v>
          </cell>
        </row>
        <row r="18">
          <cell r="A18" t="str">
            <v>0185EF31316860600</v>
          </cell>
          <cell r="B18" t="str">
            <v>PENITENCIARIA DE TEOFILO OTONI</v>
          </cell>
          <cell r="C18" t="str">
            <v>Penitenciária de Teófilo Otoni I</v>
          </cell>
          <cell r="D18">
            <v>18958148.489999972</v>
          </cell>
        </row>
        <row r="19">
          <cell r="A19" t="str">
            <v>0186EF31316930702</v>
          </cell>
          <cell r="B19" t="str">
            <v>PENITENCIARIA DE TRES CORACOES</v>
          </cell>
          <cell r="C19" t="str">
            <v>Penitenciária de Três Corações I</v>
          </cell>
          <cell r="D19">
            <v>19655080.450000096</v>
          </cell>
        </row>
        <row r="20">
          <cell r="A20" t="str">
            <v>0187EF31317010712</v>
          </cell>
          <cell r="B20" t="str">
            <v>PENITENCIARIA PROFESSOR ALUIZIO IGNACIO DE OLIVEIRA</v>
          </cell>
          <cell r="C20" t="str">
            <v>Penitenciária de Uberaba I</v>
          </cell>
          <cell r="D20">
            <v>20335796.859999899</v>
          </cell>
        </row>
        <row r="21">
          <cell r="A21" t="str">
            <v>0188EF31317020612</v>
          </cell>
          <cell r="B21" t="str">
            <v>PENITENCIARIA PROFESSOR JOAO PIMENTA DA VEIGA</v>
          </cell>
          <cell r="C21" t="str">
            <v>Penitenciária de Uberlândia I - Professor João Pimenta Da Veiga</v>
          </cell>
          <cell r="D21">
            <v>13497426.549999908</v>
          </cell>
        </row>
        <row r="22">
          <cell r="A22" t="str">
            <v>0189EF31317040402</v>
          </cell>
          <cell r="B22" t="str">
            <v>PENITENCIARIA AGOSTINHO DE OLIVEIRA JUNIOR</v>
          </cell>
          <cell r="C22" t="str">
            <v>Penitenciária de Unaí I - Agostinho de Oliveira Júnior</v>
          </cell>
          <cell r="D22">
            <v>24385056.479999904</v>
          </cell>
        </row>
      </sheetData>
      <sheetData sheetId="2">
        <row r="1">
          <cell r="A1" t="str">
            <v>Identificação</v>
          </cell>
          <cell r="B1" t="str">
            <v>Unidade Exercício BO</v>
          </cell>
          <cell r="C1" t="str">
            <v>Estabelecimento</v>
          </cell>
          <cell r="D1" t="str">
            <v>1- Salários com a administração penitenciária</v>
          </cell>
        </row>
        <row r="2">
          <cell r="A2" t="str">
            <v>0169MO31310620002</v>
          </cell>
          <cell r="B2" t="str">
            <v>UNIDADE GESTORA DE MONITORACAO ELETRONICA (UGME)</v>
          </cell>
          <cell r="C2" t="str">
            <v>Unidade Gestora de Monitoração Eletrônica de Belo Horizonte I - DOMICILIAR</v>
          </cell>
          <cell r="D2">
            <v>9771541.3399999999</v>
          </cell>
        </row>
        <row r="3">
          <cell r="A3" t="str">
            <v>0170EF31310620011</v>
          </cell>
          <cell r="B3" t="str">
            <v>COMPLEXO PENITENCIARIO FEMININO ESTEVAO PINTO</v>
          </cell>
          <cell r="C3" t="str">
            <v>Penitenciária de Belo Horizonte I - Estevão Pinto</v>
          </cell>
          <cell r="D3">
            <v>17371359.679999851</v>
          </cell>
        </row>
        <row r="4">
          <cell r="A4" t="str">
            <v>0171EF31311430300</v>
          </cell>
          <cell r="B4" t="str">
            <v>COMPLEXO PENITENCIARIO NOSSA SENHORA DO CARMO</v>
          </cell>
          <cell r="C4" t="str">
            <v>Penitenciária de Carmo do Parnaíba I</v>
          </cell>
          <cell r="D4">
            <v>18208736.859999951</v>
          </cell>
        </row>
        <row r="5">
          <cell r="A5" t="str">
            <v>0172EF31311860112</v>
          </cell>
          <cell r="B5" t="str">
            <v>COMPLEXO PENITENCIARIO NELSON HUNGRIA</v>
          </cell>
          <cell r="C5" t="str">
            <v>Penitenciária de Contagem I - Nelson Hungria</v>
          </cell>
          <cell r="D5">
            <v>59785260.240001768</v>
          </cell>
        </row>
        <row r="6">
          <cell r="A6" t="str">
            <v>0173EF31312610910</v>
          </cell>
          <cell r="B6" t="str">
            <v>PENITENCIARIA DE FORMIGA</v>
          </cell>
          <cell r="C6" t="str">
            <v>Penitenciária de Formiga I</v>
          </cell>
          <cell r="D6">
            <v>19869635.109999955</v>
          </cell>
        </row>
        <row r="7">
          <cell r="A7" t="str">
            <v>0174EF31312770100</v>
          </cell>
          <cell r="B7" t="str">
            <v>PENITENCIARIA FRANCISCO FLORIANO DE PAULA</v>
          </cell>
          <cell r="C7" t="str">
            <v>Penitenciária de Governador Valadares I - Francisco Floriano de Paula</v>
          </cell>
          <cell r="D7">
            <v>29683944.649999894</v>
          </cell>
        </row>
        <row r="8">
          <cell r="A8" t="str">
            <v>0175EF31313115800</v>
          </cell>
          <cell r="B8" t="str">
            <v>PENITENCIARIA DENIO MOREIRA DE CARVALHO</v>
          </cell>
          <cell r="C8" t="str">
            <v>Penitenciária de Ipaba I - Dênio Moreira de Carvalho</v>
          </cell>
          <cell r="D8">
            <v>27484734.020000163</v>
          </cell>
        </row>
        <row r="9">
          <cell r="A9" t="str">
            <v>0176EF31313670212</v>
          </cell>
          <cell r="B9" t="str">
            <v>PENITENCIARIA JOSE EDSON CAVALIERI</v>
          </cell>
          <cell r="C9" t="str">
            <v>Penitenciária de Juiz de Fora I - José Edson Cavalieri</v>
          </cell>
          <cell r="D9">
            <v>38252135.180000141</v>
          </cell>
        </row>
        <row r="10">
          <cell r="A10" t="str">
            <v>0177EF31313670202</v>
          </cell>
          <cell r="B10" t="str">
            <v>PENITENCIARIA PROFESSOR ARIOSVALDO CAMPOS PIRES</v>
          </cell>
          <cell r="C10" t="str">
            <v>Penitenciária de Juiz de Fora II</v>
          </cell>
          <cell r="D10">
            <v>28641548.699999925</v>
          </cell>
        </row>
        <row r="11">
          <cell r="A11" t="str">
            <v>0178EF31314390610</v>
          </cell>
          <cell r="B11" t="str">
            <v>PENITENCIARIA DR. MANOEL MARTINS LISBOA JUNIOR</v>
          </cell>
          <cell r="C11" t="str">
            <v>Penitenciária de Muriaé I</v>
          </cell>
          <cell r="D11">
            <v>21041286.430000052</v>
          </cell>
        </row>
        <row r="12">
          <cell r="A12" t="str">
            <v>0179EF31314710512</v>
          </cell>
          <cell r="B12" t="str">
            <v>COMPLEXO PENITENCIARIO DR. PIO CANEDO</v>
          </cell>
          <cell r="C12" t="str">
            <v>Penitenciária de Pará de Minas I - Doutor Pio Soares Canedo</v>
          </cell>
          <cell r="D12">
            <v>19650564.969999921</v>
          </cell>
        </row>
        <row r="13">
          <cell r="A13" t="str">
            <v>0180EF31314810310</v>
          </cell>
          <cell r="B13" t="str">
            <v>PRESIDIO DOUTOR EXPEDITO DE FARIA TAVARES</v>
          </cell>
          <cell r="C13" t="str">
            <v>Penitenciária de Patrocínio I</v>
          </cell>
          <cell r="D13">
            <v>28860401.120000031</v>
          </cell>
        </row>
        <row r="14">
          <cell r="A14" t="str">
            <v>0181EF31315210510</v>
          </cell>
          <cell r="B14" t="str">
            <v>COMPLEXO PENITENCIARIO DE PONTE NOVA</v>
          </cell>
          <cell r="C14" t="str">
            <v>Penitenciária de Ponte Nova I</v>
          </cell>
          <cell r="D14">
            <v>25720801.750000048</v>
          </cell>
        </row>
        <row r="15">
          <cell r="A15" t="str">
            <v>0182EF31315460612</v>
          </cell>
          <cell r="B15" t="str">
            <v>PENITENCIARIA JOSE MARIA ALKIMIN</v>
          </cell>
          <cell r="C15" t="str">
            <v>Penitenciária de Ribeirão das Neves I - José Maria Alkimin</v>
          </cell>
          <cell r="D15">
            <v>44040856.33000049</v>
          </cell>
        </row>
        <row r="16">
          <cell r="A16" t="str">
            <v>0183EF31316292210</v>
          </cell>
          <cell r="B16" t="str">
            <v>PRESIDIO DE SAO JOAQUIM DE BICAS</v>
          </cell>
          <cell r="C16" t="str">
            <v>Penitenciária de São Joaquim de Bicas I - Professor Jason Soares de Albergaria</v>
          </cell>
          <cell r="D16">
            <v>27561387.520000152</v>
          </cell>
        </row>
        <row r="17">
          <cell r="A17" t="str">
            <v>0184EF31312670310</v>
          </cell>
          <cell r="B17" t="str">
            <v>PENITENCIARIA DE FRANCISCO SA</v>
          </cell>
          <cell r="C17" t="str">
            <v>Penitenciária de Segurança Máxima de Francisco Sá I</v>
          </cell>
          <cell r="D17">
            <v>23250508.660000004</v>
          </cell>
        </row>
        <row r="18">
          <cell r="A18" t="str">
            <v>0185EF31316860600</v>
          </cell>
          <cell r="B18" t="str">
            <v>PENITENCIARIA DE TEOFILO OTONI</v>
          </cell>
          <cell r="C18" t="str">
            <v>Penitenciária de Teófilo Otoni I</v>
          </cell>
          <cell r="D18">
            <v>23418767.95000001</v>
          </cell>
        </row>
        <row r="19">
          <cell r="A19" t="str">
            <v>0186EF31316930702</v>
          </cell>
          <cell r="B19" t="str">
            <v>PENITENCIARIA DE TRES CORACOES</v>
          </cell>
          <cell r="C19" t="str">
            <v>Penitenciária de Três Corações I</v>
          </cell>
          <cell r="D19">
            <v>25801995.570000086</v>
          </cell>
        </row>
        <row r="20">
          <cell r="A20" t="str">
            <v>0187EF31317010712</v>
          </cell>
          <cell r="B20" t="str">
            <v>PENITENCIARIA PROFESSOR ALUIZIO IGNACIO DE OLIVEIRA</v>
          </cell>
          <cell r="C20" t="str">
            <v>Penitenciária de Uberaba I</v>
          </cell>
          <cell r="D20">
            <v>25696366.769999947</v>
          </cell>
        </row>
        <row r="21">
          <cell r="A21" t="str">
            <v>0188EF31317020612</v>
          </cell>
          <cell r="B21" t="str">
            <v>PENITENCIARIA PROFESSOR JOAO PIMENTA DA VEIGA</v>
          </cell>
          <cell r="C21" t="str">
            <v>Penitenciária de Uberlândia I - Professor João Pimenta Da Veiga</v>
          </cell>
          <cell r="D21">
            <v>18274895.479999896</v>
          </cell>
        </row>
        <row r="22">
          <cell r="A22" t="str">
            <v>0189EF31317040402</v>
          </cell>
          <cell r="B22" t="str">
            <v>PENITENCIARIA AGOSTINHO DE OLIVEIRA JUNIOR</v>
          </cell>
          <cell r="C22" t="str">
            <v>Penitenciária de Unaí I - Agostinho de Oliveira Júnior</v>
          </cell>
          <cell r="D22">
            <v>31186231.420000028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9"/>
      <sheetName val="2020"/>
      <sheetName val="2021"/>
    </sheetNames>
    <sheetDataSet>
      <sheetData sheetId="0">
        <row r="2">
          <cell r="A2" t="str">
            <v>0169MO31310620002</v>
          </cell>
          <cell r="B2" t="str">
            <v>Unidade Gestora de Monitoração Eletrônica de Belo Horizonte I - DOMICILIAR</v>
          </cell>
          <cell r="C2">
            <v>3366.9500000000003</v>
          </cell>
          <cell r="D2">
            <v>19487.180000000008</v>
          </cell>
          <cell r="E2">
            <v>0</v>
          </cell>
          <cell r="F2">
            <v>0</v>
          </cell>
          <cell r="G2">
            <v>1771.3899999999999</v>
          </cell>
          <cell r="H2">
            <v>0</v>
          </cell>
          <cell r="I2">
            <v>0</v>
          </cell>
        </row>
        <row r="3">
          <cell r="A3" t="str">
            <v>0170EF31310620011</v>
          </cell>
          <cell r="B3" t="str">
            <v>Penitenciária de Belo Horizonte I - Estevão Pinto</v>
          </cell>
          <cell r="C3">
            <v>26063.440000000006</v>
          </cell>
          <cell r="D3">
            <v>10272.809999999998</v>
          </cell>
          <cell r="E3">
            <v>0</v>
          </cell>
          <cell r="F3">
            <v>219481.71999999997</v>
          </cell>
          <cell r="G3">
            <v>62096.020000000019</v>
          </cell>
          <cell r="H3">
            <v>54211.029999999992</v>
          </cell>
          <cell r="I3">
            <v>88686.64</v>
          </cell>
        </row>
        <row r="4">
          <cell r="A4" t="str">
            <v>0171EF31311430300</v>
          </cell>
          <cell r="B4" t="str">
            <v>Penitenciária de Carmo do Parnaíba I</v>
          </cell>
          <cell r="C4">
            <v>28565.100000000002</v>
          </cell>
          <cell r="D4">
            <v>7807.2300000000005</v>
          </cell>
          <cell r="E4">
            <v>0</v>
          </cell>
          <cell r="F4">
            <v>87119.23</v>
          </cell>
          <cell r="G4">
            <v>27204.249999999996</v>
          </cell>
          <cell r="H4">
            <v>100179.15</v>
          </cell>
          <cell r="I4">
            <v>38450.640000000007</v>
          </cell>
        </row>
        <row r="5">
          <cell r="A5" t="str">
            <v>0172EF31311860112</v>
          </cell>
          <cell r="B5" t="str">
            <v>Penitenciária de Contagem I - Nelson Hungria</v>
          </cell>
          <cell r="C5">
            <v>63405.899999999994</v>
          </cell>
          <cell r="D5">
            <v>20766.849999999995</v>
          </cell>
          <cell r="E5">
            <v>0</v>
          </cell>
          <cell r="F5">
            <v>678155.77</v>
          </cell>
          <cell r="G5">
            <v>119650.76999999999</v>
          </cell>
          <cell r="H5">
            <v>339662.92</v>
          </cell>
          <cell r="I5">
            <v>92406.01</v>
          </cell>
        </row>
        <row r="6">
          <cell r="A6" t="str">
            <v>0173EF31312610910</v>
          </cell>
          <cell r="B6" t="str">
            <v>Penitenciária de Formiga I</v>
          </cell>
          <cell r="C6">
            <v>29975.479999999996</v>
          </cell>
          <cell r="D6">
            <v>9624.1299999999974</v>
          </cell>
          <cell r="E6">
            <v>0</v>
          </cell>
          <cell r="F6">
            <v>174957.19999999998</v>
          </cell>
          <cell r="G6">
            <v>31072.780000000006</v>
          </cell>
          <cell r="H6">
            <v>233983.66</v>
          </cell>
          <cell r="I6">
            <v>53964.820000000007</v>
          </cell>
        </row>
        <row r="7">
          <cell r="A7" t="str">
            <v>0174EF31312770100</v>
          </cell>
          <cell r="B7" t="str">
            <v>Penitenciária de Governador Valadares I - Francisco Floriano de Paula</v>
          </cell>
          <cell r="C7">
            <v>39224.319999999992</v>
          </cell>
          <cell r="D7">
            <v>10468.27</v>
          </cell>
          <cell r="E7">
            <v>0</v>
          </cell>
          <cell r="F7">
            <v>221778.83000000005</v>
          </cell>
          <cell r="G7">
            <v>33252.75</v>
          </cell>
          <cell r="H7">
            <v>285142.10000000003</v>
          </cell>
          <cell r="I7">
            <v>62290.769999999982</v>
          </cell>
        </row>
        <row r="8">
          <cell r="A8" t="str">
            <v>0175EF31313115800</v>
          </cell>
          <cell r="B8" t="str">
            <v>Penitenciária de Ipaba I - Dênio Moreira de Carvalho</v>
          </cell>
          <cell r="C8">
            <v>37473.9</v>
          </cell>
          <cell r="D8">
            <v>6235.3</v>
          </cell>
          <cell r="E8">
            <v>0</v>
          </cell>
          <cell r="F8">
            <v>129435.45999999999</v>
          </cell>
          <cell r="G8">
            <v>48383.88</v>
          </cell>
          <cell r="H8">
            <v>218481.47000000003</v>
          </cell>
          <cell r="I8">
            <v>58375.559999999969</v>
          </cell>
        </row>
        <row r="9">
          <cell r="A9" t="str">
            <v>0176EF31313670212</v>
          </cell>
          <cell r="B9" t="str">
            <v>Penitenciária de Juiz de Fora I - José Edson Cavalieri</v>
          </cell>
          <cell r="C9">
            <v>23537.530000000002</v>
          </cell>
          <cell r="D9">
            <v>5555.92</v>
          </cell>
          <cell r="E9">
            <v>0</v>
          </cell>
          <cell r="F9">
            <v>112520.03</v>
          </cell>
          <cell r="G9">
            <v>21063.800000000003</v>
          </cell>
          <cell r="H9">
            <v>100479.85999999997</v>
          </cell>
          <cell r="I9">
            <v>37943.679999999993</v>
          </cell>
        </row>
        <row r="10">
          <cell r="A10" t="str">
            <v>0177EF31313670202</v>
          </cell>
          <cell r="B10" t="str">
            <v>Penitenciária de Juiz de Fora II</v>
          </cell>
          <cell r="C10">
            <v>23784.280000000002</v>
          </cell>
          <cell r="D10">
            <v>7443.64</v>
          </cell>
          <cell r="E10">
            <v>0</v>
          </cell>
          <cell r="F10">
            <v>79410.009999999995</v>
          </cell>
          <cell r="G10">
            <v>25419.72</v>
          </cell>
          <cell r="H10">
            <v>129501.87000000001</v>
          </cell>
          <cell r="I10">
            <v>72933.620000000024</v>
          </cell>
        </row>
        <row r="11">
          <cell r="A11" t="str">
            <v>0178EF31314390610</v>
          </cell>
          <cell r="B11" t="str">
            <v>Penitenciária de Muriaé I</v>
          </cell>
          <cell r="C11">
            <v>25960.21</v>
          </cell>
          <cell r="D11">
            <v>4312.4799999999996</v>
          </cell>
          <cell r="E11">
            <v>0</v>
          </cell>
          <cell r="F11">
            <v>101670.9</v>
          </cell>
          <cell r="G11">
            <v>41320.03</v>
          </cell>
          <cell r="H11">
            <v>112126.07</v>
          </cell>
          <cell r="I11">
            <v>57193.619999999995</v>
          </cell>
        </row>
        <row r="12">
          <cell r="A12" t="str">
            <v>0179EF31314710512</v>
          </cell>
          <cell r="B12" t="str">
            <v>Penitenciária de Pará de Minas I - Doutor Pio Soares Canedo</v>
          </cell>
          <cell r="C12">
            <v>41244.53</v>
          </cell>
          <cell r="D12">
            <v>12990.689999999999</v>
          </cell>
          <cell r="E12">
            <v>0</v>
          </cell>
          <cell r="F12">
            <v>160889.31</v>
          </cell>
          <cell r="G12">
            <v>59939.299999999996</v>
          </cell>
          <cell r="H12">
            <v>179693.42</v>
          </cell>
          <cell r="I12">
            <v>45361.830000000016</v>
          </cell>
        </row>
        <row r="13">
          <cell r="A13" t="str">
            <v>0180EF31314810310</v>
          </cell>
          <cell r="B13" t="str">
            <v>Penitenciária de Patrocínio I</v>
          </cell>
          <cell r="C13">
            <v>41989.219999999987</v>
          </cell>
          <cell r="D13">
            <v>17683.43</v>
          </cell>
          <cell r="E13">
            <v>0</v>
          </cell>
          <cell r="F13">
            <v>187658.57</v>
          </cell>
          <cell r="G13">
            <v>71062.259999999995</v>
          </cell>
          <cell r="H13">
            <v>343584.89</v>
          </cell>
          <cell r="I13">
            <v>50349.22</v>
          </cell>
        </row>
        <row r="14">
          <cell r="A14" t="str">
            <v>0181EF31315210510</v>
          </cell>
          <cell r="B14" t="str">
            <v>Penitenciária de Ponte Nova I</v>
          </cell>
          <cell r="C14">
            <v>35315.18</v>
          </cell>
          <cell r="D14">
            <v>9982.5300000000007</v>
          </cell>
          <cell r="E14">
            <v>0</v>
          </cell>
          <cell r="F14">
            <v>231555.64</v>
          </cell>
          <cell r="G14">
            <v>45431.42</v>
          </cell>
          <cell r="H14">
            <v>83228.760000000024</v>
          </cell>
          <cell r="I14">
            <v>43191.340000000011</v>
          </cell>
        </row>
        <row r="15">
          <cell r="A15" t="str">
            <v>0182EF31315460612</v>
          </cell>
          <cell r="B15" t="str">
            <v>Penitenciária de Ribeirão das Neves I - José Maria Alkimin</v>
          </cell>
          <cell r="C15">
            <v>57105.150000000009</v>
          </cell>
          <cell r="D15">
            <v>19362.989999999998</v>
          </cell>
          <cell r="E15">
            <v>0</v>
          </cell>
          <cell r="F15">
            <v>424144.4</v>
          </cell>
          <cell r="G15">
            <v>97470.959999999977</v>
          </cell>
          <cell r="H15">
            <v>320969.65000000002</v>
          </cell>
          <cell r="I15">
            <v>67529.410000000018</v>
          </cell>
        </row>
        <row r="16">
          <cell r="A16" t="str">
            <v>0183EF31316292210</v>
          </cell>
          <cell r="B16" t="str">
            <v>Penitenciária de São Joaquim de Bicas I - Professor Jason Soares de Albergaria</v>
          </cell>
          <cell r="C16">
            <v>19317.749999999996</v>
          </cell>
          <cell r="D16">
            <v>2436.0299999999997</v>
          </cell>
          <cell r="E16">
            <v>0</v>
          </cell>
          <cell r="F16">
            <v>184533.57</v>
          </cell>
          <cell r="G16">
            <v>53585.479999999996</v>
          </cell>
          <cell r="H16">
            <v>132074.12999999998</v>
          </cell>
          <cell r="I16">
            <v>64491.199999999975</v>
          </cell>
        </row>
        <row r="17">
          <cell r="A17" t="str">
            <v>0184EF31312670310</v>
          </cell>
          <cell r="B17" t="str">
            <v>Penitenciária de Segurança Máxima de Francisco Sá I</v>
          </cell>
          <cell r="C17">
            <v>18064.519999999997</v>
          </cell>
          <cell r="D17">
            <v>1011.6</v>
          </cell>
          <cell r="E17">
            <v>0</v>
          </cell>
          <cell r="F17">
            <v>142557.66999999998</v>
          </cell>
          <cell r="G17">
            <v>20258.190000000002</v>
          </cell>
          <cell r="H17">
            <v>75156.11</v>
          </cell>
          <cell r="I17">
            <v>16964.88</v>
          </cell>
        </row>
        <row r="18">
          <cell r="A18" t="str">
            <v>0185EF31316860600</v>
          </cell>
          <cell r="B18" t="str">
            <v>Penitenciária de Teófilo Otoni I</v>
          </cell>
          <cell r="C18">
            <v>27191.270000000008</v>
          </cell>
          <cell r="D18">
            <v>8158.3500000000013</v>
          </cell>
          <cell r="E18">
            <v>0</v>
          </cell>
          <cell r="F18">
            <v>102229.37</v>
          </cell>
          <cell r="G18">
            <v>18053.29</v>
          </cell>
          <cell r="H18">
            <v>271826.07</v>
          </cell>
          <cell r="I18">
            <v>24754.880000000001</v>
          </cell>
        </row>
        <row r="19">
          <cell r="A19" t="str">
            <v>0186EF31316930702</v>
          </cell>
          <cell r="B19" t="str">
            <v>Penitenciária de Três Corações I</v>
          </cell>
          <cell r="C19">
            <v>35919.590000000004</v>
          </cell>
          <cell r="D19">
            <v>10822.029999999993</v>
          </cell>
          <cell r="E19">
            <v>0</v>
          </cell>
          <cell r="F19">
            <v>211826.05000000002</v>
          </cell>
          <cell r="G19">
            <v>61522.740000000005</v>
          </cell>
          <cell r="H19">
            <v>147697.05000000002</v>
          </cell>
          <cell r="I19">
            <v>111364.56000000007</v>
          </cell>
        </row>
        <row r="20">
          <cell r="A20" t="str">
            <v>0187EF31317010712</v>
          </cell>
          <cell r="B20" t="str">
            <v>Penitenciária de Uberaba I</v>
          </cell>
          <cell r="C20">
            <v>49953.64</v>
          </cell>
          <cell r="D20">
            <v>11699.059999999996</v>
          </cell>
          <cell r="E20">
            <v>119.67</v>
          </cell>
          <cell r="F20">
            <v>325071.3</v>
          </cell>
          <cell r="G20">
            <v>88751.31</v>
          </cell>
          <cell r="H20">
            <v>289987.40999999997</v>
          </cell>
          <cell r="I20">
            <v>85195.27</v>
          </cell>
        </row>
        <row r="21">
          <cell r="A21" t="str">
            <v>0188EF31317020612</v>
          </cell>
          <cell r="B21" t="str">
            <v>Penitenciária de Uberlândia I - Professor João Pimenta Da Veiga</v>
          </cell>
          <cell r="C21">
            <v>23505.75</v>
          </cell>
          <cell r="D21">
            <v>4006.0300000000011</v>
          </cell>
          <cell r="E21">
            <v>0</v>
          </cell>
          <cell r="F21">
            <v>132809.24</v>
          </cell>
          <cell r="G21">
            <v>36762.22</v>
          </cell>
          <cell r="H21">
            <v>64259.89</v>
          </cell>
          <cell r="I21">
            <v>52666.850000000028</v>
          </cell>
        </row>
        <row r="22">
          <cell r="A22" t="str">
            <v>0189EF31317040402</v>
          </cell>
          <cell r="B22" t="str">
            <v>Penitenciária de Unaí I - Agostinho de Oliveira Júnior</v>
          </cell>
          <cell r="C22">
            <v>29582.46999999999</v>
          </cell>
          <cell r="D22">
            <v>6650.88</v>
          </cell>
          <cell r="E22">
            <v>0</v>
          </cell>
          <cell r="F22">
            <v>113805.95000000001</v>
          </cell>
          <cell r="G22">
            <v>45935.43</v>
          </cell>
          <cell r="H22">
            <v>113868.38999999998</v>
          </cell>
          <cell r="I22">
            <v>84408.310000000027</v>
          </cell>
        </row>
        <row r="23">
          <cell r="A23" t="str">
            <v>0227EF31315460610</v>
          </cell>
          <cell r="B23" t="str">
            <v>Complexo Público Privado de Ribeirão das Neves I</v>
          </cell>
          <cell r="C23">
            <v>13.66</v>
          </cell>
          <cell r="D23">
            <v>207.36999999999995</v>
          </cell>
          <cell r="E23">
            <v>0</v>
          </cell>
          <cell r="F23">
            <v>25146.719999999998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0228EF31315460610</v>
          </cell>
          <cell r="B24" t="str">
            <v>Complexo Público Privado de Ribeirão das Neves II</v>
          </cell>
          <cell r="C24" t="str">
            <v>N/A</v>
          </cell>
          <cell r="D24" t="str">
            <v>N/A</v>
          </cell>
          <cell r="E24" t="str">
            <v>N/A</v>
          </cell>
          <cell r="F24" t="str">
            <v>N/A</v>
          </cell>
          <cell r="G24" t="str">
            <v>N/A</v>
          </cell>
          <cell r="H24" t="str">
            <v>N/A</v>
          </cell>
          <cell r="I24" t="str">
            <v>N/A</v>
          </cell>
        </row>
      </sheetData>
      <sheetData sheetId="1">
        <row r="2">
          <cell r="A2" t="str">
            <v>0169MO31310620002</v>
          </cell>
          <cell r="B2" t="str">
            <v>Unidade Gestora de Monitoração Eletrônica de Belo Horizonte I - DOMICILIAR</v>
          </cell>
          <cell r="C2">
            <v>3298.1099999999997</v>
          </cell>
          <cell r="D2">
            <v>12400.529999999999</v>
          </cell>
          <cell r="E2">
            <v>0</v>
          </cell>
          <cell r="F2">
            <v>12582.819999999998</v>
          </cell>
          <cell r="G2">
            <v>2176.4499999999998</v>
          </cell>
          <cell r="H2">
            <v>0</v>
          </cell>
          <cell r="I2">
            <v>0</v>
          </cell>
        </row>
        <row r="3">
          <cell r="A3" t="str">
            <v>0170EF31310620011</v>
          </cell>
          <cell r="B3" t="str">
            <v>Penitenciária de Belo Horizonte I - Estevão Pinto</v>
          </cell>
          <cell r="C3">
            <v>15096.279999999999</v>
          </cell>
          <cell r="D3">
            <v>8838.32</v>
          </cell>
          <cell r="E3">
            <v>0</v>
          </cell>
          <cell r="F3">
            <v>30974.270000000004</v>
          </cell>
          <cell r="G3">
            <v>54264.630000000005</v>
          </cell>
          <cell r="H3">
            <v>58138.890000000007</v>
          </cell>
          <cell r="I3">
            <v>70572.899999999965</v>
          </cell>
        </row>
        <row r="4">
          <cell r="A4" t="str">
            <v>0171EF31311430300</v>
          </cell>
          <cell r="B4" t="str">
            <v>Penitenciária de Carmo do Parnaíba I</v>
          </cell>
          <cell r="C4">
            <v>18645.010000000002</v>
          </cell>
          <cell r="D4">
            <v>15243.869999999999</v>
          </cell>
          <cell r="E4">
            <v>0</v>
          </cell>
          <cell r="F4">
            <v>51419.54</v>
          </cell>
          <cell r="G4">
            <v>34206.480000000003</v>
          </cell>
          <cell r="H4">
            <v>60109.08</v>
          </cell>
          <cell r="I4">
            <v>30965.549999999988</v>
          </cell>
        </row>
        <row r="5">
          <cell r="A5" t="str">
            <v>0172EF31311860112</v>
          </cell>
          <cell r="B5" t="str">
            <v>Penitenciária de Contagem I - Nelson Hungria</v>
          </cell>
          <cell r="C5">
            <v>34073.909999999989</v>
          </cell>
          <cell r="D5">
            <v>20418.430000000008</v>
          </cell>
          <cell r="E5">
            <v>3738.84</v>
          </cell>
          <cell r="F5">
            <v>217415.39999999994</v>
          </cell>
          <cell r="G5">
            <v>131826.5</v>
          </cell>
          <cell r="H5">
            <v>331609.77</v>
          </cell>
          <cell r="I5">
            <v>129317.15999999999</v>
          </cell>
        </row>
        <row r="6">
          <cell r="A6" t="str">
            <v>0173EF31312610910</v>
          </cell>
          <cell r="B6" t="str">
            <v>Penitenciária de Formiga I</v>
          </cell>
          <cell r="C6">
            <v>15529.689999999997</v>
          </cell>
          <cell r="D6">
            <v>14463.850000000004</v>
          </cell>
          <cell r="E6">
            <v>0</v>
          </cell>
          <cell r="F6">
            <v>45573.48</v>
          </cell>
          <cell r="G6">
            <v>37858.899999999994</v>
          </cell>
          <cell r="H6">
            <v>1381921.0100000002</v>
          </cell>
          <cell r="I6">
            <v>83100.539999999994</v>
          </cell>
        </row>
        <row r="7">
          <cell r="A7" t="str">
            <v>0174EF31312770100</v>
          </cell>
          <cell r="B7" t="str">
            <v>Penitenciária de Governador Valadares I - Francisco Floriano de Paula</v>
          </cell>
          <cell r="C7">
            <v>12909.499999999998</v>
          </cell>
          <cell r="D7">
            <v>10875.57</v>
          </cell>
          <cell r="E7">
            <v>570.32000000000005</v>
          </cell>
          <cell r="F7">
            <v>128693.38999999998</v>
          </cell>
          <cell r="G7">
            <v>40754.5</v>
          </cell>
          <cell r="H7">
            <v>280127</v>
          </cell>
          <cell r="I7">
            <v>144765.00000000009</v>
          </cell>
        </row>
        <row r="8">
          <cell r="A8" t="str">
            <v>0175EF31313115800</v>
          </cell>
          <cell r="B8" t="str">
            <v>Penitenciária de Ipaba I - Dênio Moreira de Carvalho</v>
          </cell>
          <cell r="C8">
            <v>16240.760000000004</v>
          </cell>
          <cell r="D8">
            <v>9414.6099999999988</v>
          </cell>
          <cell r="E8">
            <v>175.16</v>
          </cell>
          <cell r="F8">
            <v>106231.18999999999</v>
          </cell>
          <cell r="G8">
            <v>66541.950000000012</v>
          </cell>
          <cell r="H8">
            <v>326823.23</v>
          </cell>
          <cell r="I8">
            <v>62415.079999999994</v>
          </cell>
        </row>
        <row r="9">
          <cell r="A9" t="str">
            <v>0176EF31313670212</v>
          </cell>
          <cell r="B9" t="str">
            <v>Penitenciária de Juiz de Fora I - José Edson Cavalieri</v>
          </cell>
          <cell r="C9">
            <v>16119.360000000002</v>
          </cell>
          <cell r="D9">
            <v>11339.689999999999</v>
          </cell>
          <cell r="E9">
            <v>1043</v>
          </cell>
          <cell r="F9">
            <v>224792.88</v>
          </cell>
          <cell r="G9">
            <v>47723.549999999988</v>
          </cell>
          <cell r="H9">
            <v>115588.19000000002</v>
          </cell>
          <cell r="I9">
            <v>90415.709999999992</v>
          </cell>
        </row>
        <row r="10">
          <cell r="A10" t="str">
            <v>0177EF31313670202</v>
          </cell>
          <cell r="B10" t="str">
            <v>Penitenciária de Juiz de Fora II</v>
          </cell>
          <cell r="C10">
            <v>16236.809999999998</v>
          </cell>
          <cell r="D10">
            <v>3802.14</v>
          </cell>
          <cell r="E10">
            <v>0</v>
          </cell>
          <cell r="F10">
            <v>91298.47</v>
          </cell>
          <cell r="G10">
            <v>64645.15</v>
          </cell>
          <cell r="H10">
            <v>92652.5</v>
          </cell>
          <cell r="I10">
            <v>139715.41</v>
          </cell>
        </row>
        <row r="11">
          <cell r="A11" t="str">
            <v>0178EF31314390610</v>
          </cell>
          <cell r="B11" t="str">
            <v>Penitenciária de Muriaé I</v>
          </cell>
          <cell r="C11">
            <v>15829.110000000002</v>
          </cell>
          <cell r="D11">
            <v>8224.7300000000014</v>
          </cell>
          <cell r="E11">
            <v>0</v>
          </cell>
          <cell r="F11">
            <v>76354.7</v>
          </cell>
          <cell r="G11">
            <v>39757.369999999995</v>
          </cell>
          <cell r="H11">
            <v>152784.59</v>
          </cell>
          <cell r="I11">
            <v>50397.019999999982</v>
          </cell>
        </row>
        <row r="12">
          <cell r="A12" t="str">
            <v>0179EF31314710512</v>
          </cell>
          <cell r="B12" t="str">
            <v>Penitenciária de Pará de Minas I - Doutor Pio Soares Canedo</v>
          </cell>
          <cell r="C12">
            <v>19412.949999999993</v>
          </cell>
          <cell r="D12">
            <v>15368.959999999995</v>
          </cell>
          <cell r="E12">
            <v>0</v>
          </cell>
          <cell r="F12">
            <v>20118.080000000002</v>
          </cell>
          <cell r="G12">
            <v>64444.680000000008</v>
          </cell>
          <cell r="H12">
            <v>112993.30999999998</v>
          </cell>
          <cell r="I12">
            <v>108940.77999999998</v>
          </cell>
        </row>
        <row r="13">
          <cell r="A13" t="str">
            <v>0180EF31314810310</v>
          </cell>
          <cell r="B13" t="str">
            <v>Penitenciária de Patrocínio I</v>
          </cell>
          <cell r="C13">
            <v>15558.279999999999</v>
          </cell>
          <cell r="D13">
            <v>11016.819999999998</v>
          </cell>
          <cell r="E13">
            <v>448.18</v>
          </cell>
          <cell r="F13">
            <v>103190.85</v>
          </cell>
          <cell r="G13">
            <v>49705.880000000005</v>
          </cell>
          <cell r="H13">
            <v>174041.19</v>
          </cell>
          <cell r="I13">
            <v>59387.4</v>
          </cell>
        </row>
        <row r="14">
          <cell r="A14" t="str">
            <v>0181EF31315210510</v>
          </cell>
          <cell r="B14" t="str">
            <v>Penitenciária de Ponte Nova I</v>
          </cell>
          <cell r="C14">
            <v>18564.199999999997</v>
          </cell>
          <cell r="D14">
            <v>14315.769999999997</v>
          </cell>
          <cell r="E14">
            <v>0</v>
          </cell>
          <cell r="F14">
            <v>117491.82</v>
          </cell>
          <cell r="G14">
            <v>66309.179999999993</v>
          </cell>
          <cell r="H14">
            <v>142906.16999999998</v>
          </cell>
          <cell r="I14">
            <v>84526.030000000013</v>
          </cell>
        </row>
        <row r="15">
          <cell r="A15" t="str">
            <v>0182EF31315460612</v>
          </cell>
          <cell r="B15" t="str">
            <v>Penitenciária de Ribeirão das Neves I - José Maria Alkimin</v>
          </cell>
          <cell r="C15">
            <v>25290.379999999994</v>
          </cell>
          <cell r="D15">
            <v>20807.209999999995</v>
          </cell>
          <cell r="E15">
            <v>90.13</v>
          </cell>
          <cell r="F15">
            <v>178675.66999999998</v>
          </cell>
          <cell r="G15">
            <v>112742.25000000001</v>
          </cell>
          <cell r="H15">
            <v>348357.83999999991</v>
          </cell>
          <cell r="I15">
            <v>42829.869999999995</v>
          </cell>
        </row>
        <row r="16">
          <cell r="A16" t="str">
            <v>0183EF31316292210</v>
          </cell>
          <cell r="B16" t="str">
            <v>Penitenciária de São Joaquim de Bicas I - Professor Jason Soares de Albergaria</v>
          </cell>
          <cell r="C16">
            <v>16622.29</v>
          </cell>
          <cell r="D16">
            <v>6345.9000000000015</v>
          </cell>
          <cell r="E16">
            <v>586.79</v>
          </cell>
          <cell r="F16">
            <v>29863.07</v>
          </cell>
          <cell r="G16">
            <v>49836.899999999994</v>
          </cell>
          <cell r="H16">
            <v>320215.88000000006</v>
          </cell>
          <cell r="I16">
            <v>89338.25999999998</v>
          </cell>
        </row>
        <row r="17">
          <cell r="A17" t="str">
            <v>0184EF31312670310</v>
          </cell>
          <cell r="B17" t="str">
            <v>Penitenciária de Segurança Máxima de Francisco Sá I</v>
          </cell>
          <cell r="C17">
            <v>9156.02</v>
          </cell>
          <cell r="D17">
            <v>2888.0600000000004</v>
          </cell>
          <cell r="E17">
            <v>980.81999999999994</v>
          </cell>
          <cell r="F17">
            <v>57851.95</v>
          </cell>
          <cell r="G17">
            <v>36751.520000000004</v>
          </cell>
          <cell r="H17">
            <v>147831.95000000001</v>
          </cell>
          <cell r="I17">
            <v>18257.890000000003</v>
          </cell>
        </row>
        <row r="18">
          <cell r="A18" t="str">
            <v>0185EF31316860600</v>
          </cell>
          <cell r="B18" t="str">
            <v>Penitenciária de Teófilo Otoni I</v>
          </cell>
          <cell r="C18">
            <v>14242.539999999995</v>
          </cell>
          <cell r="D18">
            <v>13220.14</v>
          </cell>
          <cell r="E18">
            <v>0</v>
          </cell>
          <cell r="F18">
            <v>53474.080000000002</v>
          </cell>
          <cell r="G18">
            <v>19338.949999999997</v>
          </cell>
          <cell r="H18">
            <v>565556.57999999996</v>
          </cell>
          <cell r="I18">
            <v>33943.180000000015</v>
          </cell>
        </row>
        <row r="19">
          <cell r="A19" t="str">
            <v>0186EF31316930702</v>
          </cell>
          <cell r="B19" t="str">
            <v>Penitenciária de Três Corações I</v>
          </cell>
          <cell r="C19">
            <v>8128.3600000000015</v>
          </cell>
          <cell r="D19">
            <v>11945.359999999995</v>
          </cell>
          <cell r="E19">
            <v>38.130000000000003</v>
          </cell>
          <cell r="F19">
            <v>77093.150000000009</v>
          </cell>
          <cell r="G19">
            <v>54237.869999999995</v>
          </cell>
          <cell r="H19">
            <v>117494.58999999998</v>
          </cell>
          <cell r="I19">
            <v>55323.000000000036</v>
          </cell>
        </row>
        <row r="20">
          <cell r="A20" t="str">
            <v>0187EF31317010712</v>
          </cell>
          <cell r="B20" t="str">
            <v>Penitenciária de Uberaba I</v>
          </cell>
          <cell r="C20">
            <v>24739.709999999995</v>
          </cell>
          <cell r="D20">
            <v>18539.28</v>
          </cell>
          <cell r="E20">
            <v>16.88</v>
          </cell>
          <cell r="F20">
            <v>205417.63000000003</v>
          </cell>
          <cell r="G20">
            <v>98317.699999999983</v>
          </cell>
          <cell r="H20">
            <v>228372.33</v>
          </cell>
          <cell r="I20">
            <v>73696.459999999992</v>
          </cell>
        </row>
        <row r="21">
          <cell r="A21" t="str">
            <v>0188EF31317020612</v>
          </cell>
          <cell r="B21" t="str">
            <v>Penitenciária de Uberlândia I - Professor João Pimenta Da Veiga</v>
          </cell>
          <cell r="C21">
            <v>9429.399999999996</v>
          </cell>
          <cell r="D21">
            <v>6869.3000000000011</v>
          </cell>
          <cell r="E21">
            <v>1467.26</v>
          </cell>
          <cell r="F21">
            <v>147834.46</v>
          </cell>
          <cell r="G21">
            <v>35013.949999999997</v>
          </cell>
          <cell r="H21">
            <v>108860.51000000001</v>
          </cell>
          <cell r="I21">
            <v>67857.920000000013</v>
          </cell>
        </row>
        <row r="22">
          <cell r="A22" t="str">
            <v>0189EF31317040402</v>
          </cell>
          <cell r="B22" t="str">
            <v>Penitenciária de Unaí I - Agostinho de Oliveira Júnior</v>
          </cell>
          <cell r="C22">
            <v>18848.349999999999</v>
          </cell>
          <cell r="D22">
            <v>8968.31</v>
          </cell>
          <cell r="E22">
            <v>206.96</v>
          </cell>
          <cell r="F22">
            <v>71913.279999999999</v>
          </cell>
          <cell r="G22">
            <v>50524.28</v>
          </cell>
          <cell r="H22">
            <v>101533.4</v>
          </cell>
          <cell r="I22">
            <v>50089.410000000011</v>
          </cell>
        </row>
        <row r="23">
          <cell r="A23" t="str">
            <v>0227EF31315460610</v>
          </cell>
          <cell r="B23" t="str">
            <v>Complexo Público Privado de Ribeirão das Neves I</v>
          </cell>
          <cell r="C23">
            <v>15.120000000000001</v>
          </cell>
          <cell r="D23">
            <v>129.88999999999999</v>
          </cell>
          <cell r="E23">
            <v>991.24</v>
          </cell>
          <cell r="F23">
            <v>47851.30999999999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0228EF31315460610</v>
          </cell>
          <cell r="B24" t="str">
            <v>Complexo Público Privado de Ribeirão das Neves II</v>
          </cell>
          <cell r="C24" t="str">
            <v>N/A</v>
          </cell>
          <cell r="D24" t="str">
            <v>N/A</v>
          </cell>
          <cell r="E24" t="str">
            <v>N/A</v>
          </cell>
          <cell r="F24" t="str">
            <v>N/A</v>
          </cell>
          <cell r="G24" t="str">
            <v>N/A</v>
          </cell>
          <cell r="H24" t="str">
            <v>N/A</v>
          </cell>
          <cell r="I24" t="str">
            <v>N/A</v>
          </cell>
        </row>
      </sheetData>
      <sheetData sheetId="2">
        <row r="2">
          <cell r="A2" t="str">
            <v>0169MO31310620002</v>
          </cell>
          <cell r="B2" t="str">
            <v>Unidade Gestora de Monitoração Eletrônica de Belo Horizonte I - DOMICILIAR</v>
          </cell>
          <cell r="C2">
            <v>3804.7599999999998</v>
          </cell>
          <cell r="D2">
            <v>3268.5499999999997</v>
          </cell>
          <cell r="E2">
            <v>0</v>
          </cell>
          <cell r="F2">
            <v>84967.540000000008</v>
          </cell>
          <cell r="G2">
            <v>1472.4799999999998</v>
          </cell>
          <cell r="H2">
            <v>0</v>
          </cell>
          <cell r="I2">
            <v>0</v>
          </cell>
        </row>
        <row r="3">
          <cell r="A3" t="str">
            <v>0170EF31310620011</v>
          </cell>
          <cell r="B3" t="str">
            <v>Penitenciária de Belo Horizonte I - Estevão Pinto</v>
          </cell>
          <cell r="C3">
            <v>15983.890000000003</v>
          </cell>
          <cell r="D3">
            <v>8257.9699999999993</v>
          </cell>
          <cell r="E3">
            <v>0</v>
          </cell>
          <cell r="F3">
            <v>85862.85</v>
          </cell>
          <cell r="G3">
            <v>60598.71</v>
          </cell>
          <cell r="H3">
            <v>78965.17</v>
          </cell>
          <cell r="I3">
            <v>139332.48999999987</v>
          </cell>
        </row>
        <row r="4">
          <cell r="A4" t="str">
            <v>0171EF31311430300</v>
          </cell>
          <cell r="B4" t="str">
            <v>Penitenciária de Carmo do Parnaíba I</v>
          </cell>
          <cell r="C4">
            <v>19494.570000000003</v>
          </cell>
          <cell r="D4">
            <v>6504.99</v>
          </cell>
          <cell r="E4">
            <v>0</v>
          </cell>
          <cell r="F4">
            <v>45162.039999999994</v>
          </cell>
          <cell r="G4">
            <v>30495.01</v>
          </cell>
          <cell r="H4">
            <v>50766.75</v>
          </cell>
          <cell r="I4">
            <v>53697.359999999986</v>
          </cell>
        </row>
        <row r="5">
          <cell r="A5" t="str">
            <v>0172EF31311860112</v>
          </cell>
          <cell r="B5" t="str">
            <v>Penitenciária de Contagem I - Nelson Hungria</v>
          </cell>
          <cell r="C5">
            <v>38091.959999999992</v>
          </cell>
          <cell r="D5">
            <v>19187.480000000003</v>
          </cell>
          <cell r="E5">
            <v>333.99</v>
          </cell>
          <cell r="F5">
            <v>81469.66</v>
          </cell>
          <cell r="G5">
            <v>181089.42</v>
          </cell>
          <cell r="H5">
            <v>304859.59999999992</v>
          </cell>
          <cell r="I5">
            <v>149746.47999999989</v>
          </cell>
        </row>
        <row r="6">
          <cell r="A6" t="str">
            <v>0173EF31312610910</v>
          </cell>
          <cell r="B6" t="str">
            <v>Penitenciária de Formiga I</v>
          </cell>
          <cell r="C6">
            <v>15864.279999999995</v>
          </cell>
          <cell r="D6">
            <v>7961.0800000000008</v>
          </cell>
          <cell r="E6">
            <v>0</v>
          </cell>
          <cell r="F6">
            <v>104977.65000000002</v>
          </cell>
          <cell r="G6">
            <v>29454.809999999994</v>
          </cell>
          <cell r="H6">
            <v>271998.11</v>
          </cell>
          <cell r="I6">
            <v>117298.00999999995</v>
          </cell>
        </row>
        <row r="7">
          <cell r="A7" t="str">
            <v>0174EF31312770100</v>
          </cell>
          <cell r="B7" t="str">
            <v>Penitenciária de Governador Valadares I - Francisco Floriano de Paula</v>
          </cell>
          <cell r="C7">
            <v>12125.960000000001</v>
          </cell>
          <cell r="D7">
            <v>6559.67</v>
          </cell>
          <cell r="E7">
            <v>0</v>
          </cell>
          <cell r="F7">
            <v>41023.820000000007</v>
          </cell>
          <cell r="G7">
            <v>43943.35</v>
          </cell>
          <cell r="H7">
            <v>241878.48</v>
          </cell>
          <cell r="I7">
            <v>116160.12000000001</v>
          </cell>
        </row>
        <row r="8">
          <cell r="A8" t="str">
            <v>0175EF31313115800</v>
          </cell>
          <cell r="B8" t="str">
            <v>Penitenciária de Ipaba I - Dênio Moreira de Carvalho</v>
          </cell>
          <cell r="C8">
            <v>16779.689999999999</v>
          </cell>
          <cell r="D8">
            <v>7618.2399999999989</v>
          </cell>
          <cell r="E8">
            <v>492.59</v>
          </cell>
          <cell r="F8">
            <v>92738.62000000001</v>
          </cell>
          <cell r="G8">
            <v>57443.64999999998</v>
          </cell>
          <cell r="H8">
            <v>291430.40999999997</v>
          </cell>
          <cell r="I8">
            <v>51041.520000000011</v>
          </cell>
        </row>
        <row r="9">
          <cell r="A9" t="str">
            <v>0176EF31313670212</v>
          </cell>
          <cell r="B9" t="str">
            <v>Penitenciária de Juiz de Fora I - José Edson Cavalieri</v>
          </cell>
          <cell r="C9">
            <v>18387.060000000001</v>
          </cell>
          <cell r="D9">
            <v>8871.1700000000019</v>
          </cell>
          <cell r="E9">
            <v>0</v>
          </cell>
          <cell r="F9">
            <v>305304.27999999997</v>
          </cell>
          <cell r="G9">
            <v>102012.97</v>
          </cell>
          <cell r="H9">
            <v>200976.63999999996</v>
          </cell>
          <cell r="I9">
            <v>92352.920000000042</v>
          </cell>
        </row>
        <row r="10">
          <cell r="A10" t="str">
            <v>0177EF31313670202</v>
          </cell>
          <cell r="B10" t="str">
            <v>Penitenciária de Juiz de Fora II</v>
          </cell>
          <cell r="C10">
            <v>16857.95</v>
          </cell>
          <cell r="D10">
            <v>1954.9400000000003</v>
          </cell>
          <cell r="E10">
            <v>0</v>
          </cell>
          <cell r="F10">
            <v>219538.44</v>
          </cell>
          <cell r="G10">
            <v>65066.259999999995</v>
          </cell>
          <cell r="H10">
            <v>97647.32</v>
          </cell>
          <cell r="I10">
            <v>46789.730000000018</v>
          </cell>
        </row>
        <row r="11">
          <cell r="A11" t="str">
            <v>0178EF31314390610</v>
          </cell>
          <cell r="B11" t="str">
            <v>Penitenciária de Muriaé I</v>
          </cell>
          <cell r="C11">
            <v>18787.450000000004</v>
          </cell>
          <cell r="D11">
            <v>5761.8599999999979</v>
          </cell>
          <cell r="E11">
            <v>0</v>
          </cell>
          <cell r="F11">
            <v>32602.25</v>
          </cell>
          <cell r="G11">
            <v>41884.720000000001</v>
          </cell>
          <cell r="H11">
            <v>37435.72</v>
          </cell>
          <cell r="I11">
            <v>71600.699999999983</v>
          </cell>
        </row>
        <row r="12">
          <cell r="A12" t="str">
            <v>0179EF31314710512</v>
          </cell>
          <cell r="B12" t="str">
            <v>Penitenciária de Pará de Minas I - Doutor Pio Soares Canedo</v>
          </cell>
          <cell r="C12">
            <v>23673.760000000002</v>
          </cell>
          <cell r="D12">
            <v>8328.7100000000009</v>
          </cell>
          <cell r="E12">
            <v>0</v>
          </cell>
          <cell r="F12">
            <v>122267.21</v>
          </cell>
          <cell r="G12">
            <v>56349.63</v>
          </cell>
          <cell r="H12">
            <v>117556.49</v>
          </cell>
          <cell r="I12">
            <v>139968.0199999999</v>
          </cell>
        </row>
        <row r="13">
          <cell r="A13" t="str">
            <v>0180EF31314810310</v>
          </cell>
          <cell r="B13" t="str">
            <v>Penitenciária de Patrocínio I</v>
          </cell>
          <cell r="C13">
            <v>25427.760000000006</v>
          </cell>
          <cell r="D13">
            <v>13211.749999999996</v>
          </cell>
          <cell r="E13">
            <v>0</v>
          </cell>
          <cell r="F13">
            <v>210097.61</v>
          </cell>
          <cell r="G13">
            <v>57165.739999999991</v>
          </cell>
          <cell r="H13">
            <v>634693.30999999994</v>
          </cell>
          <cell r="I13">
            <v>73541.00999999998</v>
          </cell>
        </row>
        <row r="14">
          <cell r="A14" t="str">
            <v>0181EF31315210510</v>
          </cell>
          <cell r="B14" t="str">
            <v>Penitenciária de Ponte Nova I</v>
          </cell>
          <cell r="C14">
            <v>11665.07</v>
          </cell>
          <cell r="D14">
            <v>8889.83</v>
          </cell>
          <cell r="E14">
            <v>0</v>
          </cell>
          <cell r="F14">
            <v>205191.34999999998</v>
          </cell>
          <cell r="G14">
            <v>43929.950000000004</v>
          </cell>
          <cell r="H14">
            <v>78099.63</v>
          </cell>
          <cell r="I14">
            <v>80223.19</v>
          </cell>
        </row>
        <row r="15">
          <cell r="A15" t="str">
            <v>0182EF31315460612</v>
          </cell>
          <cell r="B15" t="str">
            <v>Penitenciária de Ribeirão das Neves I - José Maria Alkimin</v>
          </cell>
          <cell r="C15">
            <v>63429.570000000007</v>
          </cell>
          <cell r="D15">
            <v>26447.609999999997</v>
          </cell>
          <cell r="E15">
            <v>21.02</v>
          </cell>
          <cell r="F15">
            <v>144886.40999999997</v>
          </cell>
          <cell r="G15">
            <v>118477.83000000002</v>
          </cell>
          <cell r="H15">
            <v>392101.49000000005</v>
          </cell>
          <cell r="I15">
            <v>85248.239999999932</v>
          </cell>
        </row>
        <row r="16">
          <cell r="A16" t="str">
            <v>0183EF31316292210</v>
          </cell>
          <cell r="B16" t="str">
            <v>Penitenciária de São Joaquim de Bicas I - Professor Jason Soares de Albergaria</v>
          </cell>
          <cell r="C16">
            <v>22827.529999999995</v>
          </cell>
          <cell r="D16">
            <v>7998.6999999999989</v>
          </cell>
          <cell r="E16">
            <v>499.21</v>
          </cell>
          <cell r="F16">
            <v>71639.330000000016</v>
          </cell>
          <cell r="G16">
            <v>33898.67</v>
          </cell>
          <cell r="H16">
            <v>142498.23000000001</v>
          </cell>
          <cell r="I16">
            <v>97552.739999999991</v>
          </cell>
        </row>
        <row r="17">
          <cell r="A17" t="str">
            <v>0184EF31312670310</v>
          </cell>
          <cell r="B17" t="str">
            <v>Penitenciária de Segurança Máxima de Francisco Sá I</v>
          </cell>
          <cell r="C17">
            <v>31077.670000000013</v>
          </cell>
          <cell r="D17">
            <v>3213.5</v>
          </cell>
          <cell r="E17">
            <v>0</v>
          </cell>
          <cell r="F17">
            <v>43753.95</v>
          </cell>
          <cell r="G17">
            <v>38791.520000000004</v>
          </cell>
          <cell r="H17">
            <v>450815.88</v>
          </cell>
          <cell r="I17">
            <v>36733.11</v>
          </cell>
        </row>
        <row r="18">
          <cell r="A18" t="str">
            <v>0185EF31316860600</v>
          </cell>
          <cell r="B18" t="str">
            <v>Penitenciária de Teófilo Otoni I</v>
          </cell>
          <cell r="C18">
            <v>14646.749999999995</v>
          </cell>
          <cell r="D18">
            <v>6602.0499999999984</v>
          </cell>
          <cell r="E18">
            <v>0</v>
          </cell>
          <cell r="F18">
            <v>28320.59</v>
          </cell>
          <cell r="G18">
            <v>15527.49</v>
          </cell>
          <cell r="H18">
            <v>425079.58</v>
          </cell>
          <cell r="I18">
            <v>34598.759999999995</v>
          </cell>
        </row>
        <row r="19">
          <cell r="A19" t="str">
            <v>0186EF31316930702</v>
          </cell>
          <cell r="B19" t="str">
            <v>Penitenciária de Três Corações I</v>
          </cell>
          <cell r="C19">
            <v>43073.329999999994</v>
          </cell>
          <cell r="D19">
            <v>10420.129999999999</v>
          </cell>
          <cell r="E19">
            <v>0</v>
          </cell>
          <cell r="F19">
            <v>211629.70999999996</v>
          </cell>
          <cell r="G19">
            <v>61413.94</v>
          </cell>
          <cell r="H19">
            <v>72363.070000000007</v>
          </cell>
          <cell r="I19">
            <v>67514.13999999997</v>
          </cell>
        </row>
        <row r="20">
          <cell r="A20" t="str">
            <v>0187EF31317010712</v>
          </cell>
          <cell r="B20" t="str">
            <v>Penitenciária de Uberaba I</v>
          </cell>
          <cell r="C20">
            <v>19272.100000000002</v>
          </cell>
          <cell r="D20">
            <v>10647.060000000003</v>
          </cell>
          <cell r="E20">
            <v>0</v>
          </cell>
          <cell r="F20">
            <v>76178.19</v>
          </cell>
          <cell r="G20">
            <v>73832.94</v>
          </cell>
          <cell r="H20">
            <v>325543.51</v>
          </cell>
          <cell r="I20">
            <v>135536.90000000005</v>
          </cell>
        </row>
        <row r="21">
          <cell r="A21" t="str">
            <v>0188EF31317020612</v>
          </cell>
          <cell r="B21" t="str">
            <v>Penitenciária de Uberlândia I - Professor João Pimenta Da Veiga</v>
          </cell>
          <cell r="C21">
            <v>37338.370000000003</v>
          </cell>
          <cell r="D21">
            <v>7620.82</v>
          </cell>
          <cell r="E21">
            <v>0</v>
          </cell>
          <cell r="F21">
            <v>88132.39</v>
          </cell>
          <cell r="G21">
            <v>45906.520000000004</v>
          </cell>
          <cell r="H21">
            <v>63009.479999999996</v>
          </cell>
          <cell r="I21">
            <v>108890.22999999988</v>
          </cell>
        </row>
        <row r="22">
          <cell r="A22" t="str">
            <v>0189EF31317040402</v>
          </cell>
          <cell r="B22" t="str">
            <v>Penitenciária de Unaí I - Agostinho de Oliveira Júnior</v>
          </cell>
          <cell r="C22">
            <v>37864.849999999984</v>
          </cell>
          <cell r="D22">
            <v>8674.1500000000015</v>
          </cell>
          <cell r="E22">
            <v>20.77</v>
          </cell>
          <cell r="F22">
            <v>239273.31000000003</v>
          </cell>
          <cell r="G22">
            <v>27982.54</v>
          </cell>
          <cell r="H22">
            <v>186370.93000000002</v>
          </cell>
          <cell r="I22">
            <v>114247.03999999994</v>
          </cell>
        </row>
        <row r="23">
          <cell r="A23" t="str">
            <v>0227EF31315460610</v>
          </cell>
          <cell r="B23" t="str">
            <v>Complexo Público Privado de Ribeirão das Neves I</v>
          </cell>
          <cell r="C23">
            <v>0</v>
          </cell>
          <cell r="D23">
            <v>0</v>
          </cell>
          <cell r="E23">
            <v>1164.95</v>
          </cell>
          <cell r="F23">
            <v>74472.490000000005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0228EF31315460610</v>
          </cell>
          <cell r="B24" t="str">
            <v>Complexo Público Privado de Ribeirão das Neves II</v>
          </cell>
          <cell r="C24" t="str">
            <v>N/A</v>
          </cell>
          <cell r="D24" t="str">
            <v>N/A</v>
          </cell>
          <cell r="E24" t="str">
            <v>N/A</v>
          </cell>
          <cell r="F24" t="str">
            <v>N/A</v>
          </cell>
          <cell r="G24" t="str">
            <v>N/A</v>
          </cell>
          <cell r="H24" t="str">
            <v>N/A</v>
          </cell>
          <cell r="I24" t="str">
            <v>N/A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9"/>
      <sheetName val="2020"/>
      <sheetName val="2021"/>
    </sheetNames>
    <sheetDataSet>
      <sheetData sheetId="0">
        <row r="2">
          <cell r="A2" t="str">
            <v>0169MO31310620002</v>
          </cell>
          <cell r="B2" t="str">
            <v>Unidade Gestora de Monitoração Eletrônica de Belo Horizonte I - DOMICILIAR</v>
          </cell>
          <cell r="C2"/>
          <cell r="D2"/>
          <cell r="E2"/>
          <cell r="F2"/>
          <cell r="G2"/>
          <cell r="H2">
            <v>16268.52</v>
          </cell>
          <cell r="I2">
            <v>16323.08</v>
          </cell>
          <cell r="J2"/>
          <cell r="K2"/>
          <cell r="L2"/>
          <cell r="M2"/>
          <cell r="N2"/>
          <cell r="O2">
            <v>13440</v>
          </cell>
        </row>
        <row r="3">
          <cell r="A3" t="str">
            <v>0170EF31310620011</v>
          </cell>
          <cell r="B3" t="str">
            <v>Penitenciária de Belo Horizonte I - Estevão Pinto</v>
          </cell>
          <cell r="C3"/>
          <cell r="D3"/>
          <cell r="E3"/>
          <cell r="F3"/>
          <cell r="G3"/>
          <cell r="H3">
            <v>204786.39</v>
          </cell>
          <cell r="I3">
            <v>26095.83</v>
          </cell>
          <cell r="J3"/>
          <cell r="K3"/>
          <cell r="L3"/>
          <cell r="M3"/>
          <cell r="N3"/>
          <cell r="O3">
            <v>0</v>
          </cell>
        </row>
        <row r="4">
          <cell r="A4" t="str">
            <v>0171EF31311430300</v>
          </cell>
          <cell r="B4" t="str">
            <v>Penitenciária de Carmo do Parnaíba I</v>
          </cell>
          <cell r="C4"/>
          <cell r="D4"/>
          <cell r="E4"/>
          <cell r="F4"/>
          <cell r="G4"/>
          <cell r="H4">
            <v>5705.48</v>
          </cell>
          <cell r="I4">
            <v>18866.759999999998</v>
          </cell>
          <cell r="J4"/>
          <cell r="K4"/>
          <cell r="L4"/>
          <cell r="M4"/>
          <cell r="N4"/>
          <cell r="O4">
            <v>6720</v>
          </cell>
        </row>
        <row r="5">
          <cell r="A5" t="str">
            <v>0172EF31311860112</v>
          </cell>
          <cell r="B5" t="str">
            <v>Penitenciária de Contagem I - Nelson Hungria</v>
          </cell>
          <cell r="C5"/>
          <cell r="D5"/>
          <cell r="E5"/>
          <cell r="F5"/>
          <cell r="G5"/>
          <cell r="H5">
            <v>195039.15</v>
          </cell>
          <cell r="I5">
            <v>24452.34</v>
          </cell>
          <cell r="J5"/>
          <cell r="K5"/>
          <cell r="L5"/>
          <cell r="M5"/>
          <cell r="N5"/>
          <cell r="O5">
            <v>13320</v>
          </cell>
        </row>
        <row r="6">
          <cell r="A6" t="str">
            <v>0173EF31312610910</v>
          </cell>
          <cell r="B6" t="str">
            <v>Penitenciária de Formiga I</v>
          </cell>
          <cell r="C6"/>
          <cell r="D6"/>
          <cell r="E6"/>
          <cell r="F6"/>
          <cell r="G6"/>
          <cell r="H6">
            <v>5504.04</v>
          </cell>
          <cell r="I6">
            <v>14456.44</v>
          </cell>
          <cell r="J6"/>
          <cell r="K6"/>
          <cell r="L6"/>
          <cell r="M6"/>
          <cell r="N6"/>
          <cell r="O6">
            <v>6720</v>
          </cell>
        </row>
        <row r="7">
          <cell r="A7" t="str">
            <v>0174EF31312770100</v>
          </cell>
          <cell r="B7" t="str">
            <v>Penitenciária de Governador Valadares I - Francisco Floriano de Paula</v>
          </cell>
          <cell r="C7"/>
          <cell r="D7"/>
          <cell r="E7"/>
          <cell r="F7"/>
          <cell r="G7"/>
          <cell r="H7">
            <v>208799.88</v>
          </cell>
          <cell r="I7">
            <v>25177.85</v>
          </cell>
          <cell r="J7"/>
          <cell r="K7"/>
          <cell r="L7"/>
          <cell r="M7"/>
          <cell r="N7"/>
          <cell r="O7">
            <v>0</v>
          </cell>
        </row>
        <row r="8">
          <cell r="A8" t="str">
            <v>0175EF31313115800</v>
          </cell>
          <cell r="B8" t="str">
            <v>Penitenciária de Ipaba I - Dênio Moreira de Carvalho</v>
          </cell>
          <cell r="C8"/>
          <cell r="D8"/>
          <cell r="E8"/>
          <cell r="F8"/>
          <cell r="G8"/>
          <cell r="H8">
            <v>203227.78</v>
          </cell>
          <cell r="I8">
            <v>17957.04</v>
          </cell>
          <cell r="J8"/>
          <cell r="K8"/>
          <cell r="L8"/>
          <cell r="M8"/>
          <cell r="N8"/>
          <cell r="O8">
            <v>6720</v>
          </cell>
        </row>
        <row r="9">
          <cell r="A9" t="str">
            <v>0176EF31313670212</v>
          </cell>
          <cell r="B9" t="str">
            <v>Penitenciária de Juiz de Fora I - José Edson Cavalieri</v>
          </cell>
          <cell r="C9"/>
          <cell r="D9"/>
          <cell r="E9"/>
          <cell r="F9"/>
          <cell r="G9"/>
          <cell r="H9">
            <v>9371.9500000000007</v>
          </cell>
          <cell r="I9">
            <v>15545.56</v>
          </cell>
          <cell r="J9"/>
          <cell r="K9"/>
          <cell r="L9"/>
          <cell r="M9"/>
          <cell r="N9"/>
          <cell r="O9">
            <v>0</v>
          </cell>
        </row>
        <row r="10">
          <cell r="A10" t="str">
            <v>0177EF31313670202</v>
          </cell>
          <cell r="B10" t="str">
            <v>Penitenciária de Juiz de Fora II</v>
          </cell>
          <cell r="C10"/>
          <cell r="D10"/>
          <cell r="E10"/>
          <cell r="F10"/>
          <cell r="G10"/>
          <cell r="H10">
            <v>5989.03</v>
          </cell>
          <cell r="I10">
            <v>9855.36</v>
          </cell>
          <cell r="J10"/>
          <cell r="K10"/>
          <cell r="L10"/>
          <cell r="M10"/>
          <cell r="N10"/>
          <cell r="O10">
            <v>0</v>
          </cell>
        </row>
        <row r="11">
          <cell r="A11" t="str">
            <v>0178EF31314390610</v>
          </cell>
          <cell r="B11" t="str">
            <v>Penitenciária de Muriaé I</v>
          </cell>
          <cell r="C11"/>
          <cell r="D11"/>
          <cell r="E11"/>
          <cell r="F11"/>
          <cell r="G11"/>
          <cell r="H11">
            <v>2328.5500000000002</v>
          </cell>
          <cell r="I11">
            <v>17118.75</v>
          </cell>
          <cell r="J11"/>
          <cell r="K11"/>
          <cell r="L11"/>
          <cell r="M11"/>
          <cell r="N11"/>
          <cell r="O11">
            <v>6720</v>
          </cell>
        </row>
        <row r="12">
          <cell r="A12" t="str">
            <v>0179EF31314710512</v>
          </cell>
          <cell r="B12" t="str">
            <v>Penitenciária de Pará de Minas I - Doutor Pio Soares Canedo</v>
          </cell>
          <cell r="C12"/>
          <cell r="D12"/>
          <cell r="E12"/>
          <cell r="F12"/>
          <cell r="G12"/>
          <cell r="H12">
            <v>7940.29</v>
          </cell>
          <cell r="I12">
            <v>52912.65</v>
          </cell>
          <cell r="J12"/>
          <cell r="K12"/>
          <cell r="L12"/>
          <cell r="M12"/>
          <cell r="N12"/>
          <cell r="O12">
            <v>6720</v>
          </cell>
        </row>
        <row r="13">
          <cell r="A13" t="str">
            <v>0180EF31314810310</v>
          </cell>
          <cell r="B13" t="str">
            <v>Penitenciária de Patrocínio I</v>
          </cell>
          <cell r="C13"/>
          <cell r="D13"/>
          <cell r="E13"/>
          <cell r="F13"/>
          <cell r="G13"/>
          <cell r="H13">
            <v>204060.85</v>
          </cell>
          <cell r="I13">
            <v>18036.849999999999</v>
          </cell>
          <cell r="J13"/>
          <cell r="K13"/>
          <cell r="L13"/>
          <cell r="M13"/>
          <cell r="N13"/>
          <cell r="O13">
            <v>12720</v>
          </cell>
        </row>
        <row r="14">
          <cell r="A14" t="str">
            <v>0181EF31315210510</v>
          </cell>
          <cell r="B14" t="str">
            <v>Penitenciária de Ponte Nova I</v>
          </cell>
          <cell r="C14"/>
          <cell r="D14"/>
          <cell r="E14"/>
          <cell r="F14"/>
          <cell r="G14"/>
          <cell r="H14">
            <v>209344.01</v>
          </cell>
          <cell r="I14">
            <v>17301.25</v>
          </cell>
          <cell r="J14"/>
          <cell r="K14"/>
          <cell r="L14"/>
          <cell r="M14"/>
          <cell r="N14"/>
          <cell r="O14">
            <v>6720</v>
          </cell>
        </row>
        <row r="15">
          <cell r="A15" t="str">
            <v>0182EF31315460612</v>
          </cell>
          <cell r="B15" t="str">
            <v>Penitenciária de Ribeirão das Neves I - José Maria Alkimin</v>
          </cell>
          <cell r="C15"/>
          <cell r="D15"/>
          <cell r="E15"/>
          <cell r="F15"/>
          <cell r="G15"/>
          <cell r="H15">
            <v>15175.85</v>
          </cell>
          <cell r="I15">
            <v>33537.89</v>
          </cell>
          <cell r="J15"/>
          <cell r="K15"/>
          <cell r="L15"/>
          <cell r="M15"/>
          <cell r="N15"/>
          <cell r="O15">
            <v>12720</v>
          </cell>
        </row>
        <row r="16">
          <cell r="A16" t="str">
            <v>0183EF31316292210</v>
          </cell>
          <cell r="B16" t="str">
            <v>Penitenciária de São Joaquim de Bicas I - Professor Jason Soares de Albergaria</v>
          </cell>
          <cell r="C16"/>
          <cell r="D16"/>
          <cell r="E16"/>
          <cell r="F16"/>
          <cell r="G16"/>
          <cell r="H16">
            <v>204537.88</v>
          </cell>
          <cell r="I16">
            <v>32791.769999999997</v>
          </cell>
          <cell r="J16"/>
          <cell r="K16"/>
          <cell r="L16"/>
          <cell r="M16"/>
          <cell r="N16"/>
          <cell r="O16">
            <v>12720</v>
          </cell>
        </row>
        <row r="17">
          <cell r="A17" t="str">
            <v>0184EF31312670310</v>
          </cell>
          <cell r="B17" t="str">
            <v>Penitenciária de Segurança Máxima de Francisco Sá I</v>
          </cell>
          <cell r="C17"/>
          <cell r="D17"/>
          <cell r="E17"/>
          <cell r="F17"/>
          <cell r="G17"/>
          <cell r="H17">
            <v>203905.88</v>
          </cell>
          <cell r="I17">
            <v>42258.21</v>
          </cell>
          <cell r="J17"/>
          <cell r="K17"/>
          <cell r="L17"/>
          <cell r="M17"/>
          <cell r="N17"/>
          <cell r="O17">
            <v>6720</v>
          </cell>
        </row>
        <row r="18">
          <cell r="A18" t="str">
            <v>0185EF31316860600</v>
          </cell>
          <cell r="B18" t="str">
            <v>Penitenciária de Teófilo Otoni I</v>
          </cell>
          <cell r="C18"/>
          <cell r="D18"/>
          <cell r="E18"/>
          <cell r="F18"/>
          <cell r="G18"/>
          <cell r="H18">
            <v>6281.81</v>
          </cell>
          <cell r="I18">
            <v>13389.52</v>
          </cell>
          <cell r="J18"/>
          <cell r="K18"/>
          <cell r="L18"/>
          <cell r="M18"/>
          <cell r="N18"/>
          <cell r="O18">
            <v>6720</v>
          </cell>
        </row>
        <row r="19">
          <cell r="A19" t="str">
            <v>0186EF31316930702</v>
          </cell>
          <cell r="B19" t="str">
            <v>Penitenciária de Três Corações I</v>
          </cell>
          <cell r="C19"/>
          <cell r="D19"/>
          <cell r="E19"/>
          <cell r="F19"/>
          <cell r="G19"/>
          <cell r="H19">
            <v>205247.29</v>
          </cell>
          <cell r="I19">
            <v>16812.419999999998</v>
          </cell>
          <cell r="J19"/>
          <cell r="K19"/>
          <cell r="L19"/>
          <cell r="M19"/>
          <cell r="N19"/>
          <cell r="O19">
            <v>6720</v>
          </cell>
        </row>
        <row r="20">
          <cell r="A20" t="str">
            <v>0187EF31317010712</v>
          </cell>
          <cell r="B20" t="str">
            <v>Penitenciária de Uberaba I</v>
          </cell>
          <cell r="C20"/>
          <cell r="D20"/>
          <cell r="E20"/>
          <cell r="F20"/>
          <cell r="G20"/>
          <cell r="H20">
            <v>11640.41</v>
          </cell>
          <cell r="I20">
            <v>86190.6</v>
          </cell>
          <cell r="J20"/>
          <cell r="K20"/>
          <cell r="L20"/>
          <cell r="M20"/>
          <cell r="N20"/>
          <cell r="O20">
            <v>6720</v>
          </cell>
        </row>
        <row r="21">
          <cell r="A21" t="str">
            <v>0188EF31317020612</v>
          </cell>
          <cell r="B21" t="str">
            <v>Penitenciária de Uberlândia I - Professor João Pimenta Da Veiga</v>
          </cell>
          <cell r="C21"/>
          <cell r="D21"/>
          <cell r="E21"/>
          <cell r="F21"/>
          <cell r="G21"/>
          <cell r="H21">
            <v>5699.77</v>
          </cell>
          <cell r="I21">
            <v>39410.089999999997</v>
          </cell>
          <cell r="J21"/>
          <cell r="K21"/>
          <cell r="L21"/>
          <cell r="M21"/>
          <cell r="N21"/>
          <cell r="O21">
            <v>6720</v>
          </cell>
        </row>
        <row r="22">
          <cell r="A22" t="str">
            <v>0189EF31317040402</v>
          </cell>
          <cell r="B22" t="str">
            <v>Penitenciária de Unaí I - Agostinho de Oliveira Júnior</v>
          </cell>
          <cell r="C22"/>
          <cell r="D22"/>
          <cell r="E22"/>
          <cell r="F22"/>
          <cell r="G22"/>
          <cell r="H22">
            <v>6497.71</v>
          </cell>
          <cell r="I22">
            <v>57385.89</v>
          </cell>
          <cell r="J22"/>
          <cell r="K22"/>
          <cell r="L22"/>
          <cell r="M22"/>
          <cell r="N22"/>
          <cell r="O22">
            <v>6720</v>
          </cell>
        </row>
        <row r="23">
          <cell r="A23" t="str">
            <v>0227EF31315460610</v>
          </cell>
          <cell r="B23" t="str">
            <v>Complexo Público Privado de Ribeirão das Neves I</v>
          </cell>
          <cell r="C23"/>
          <cell r="D23"/>
          <cell r="E23"/>
          <cell r="F23"/>
          <cell r="G23"/>
          <cell r="H23" t="str">
            <v>NA</v>
          </cell>
          <cell r="I23" t="str">
            <v>NA</v>
          </cell>
          <cell r="J23"/>
          <cell r="K23"/>
          <cell r="L23"/>
          <cell r="M23"/>
          <cell r="N23"/>
          <cell r="O23" t="str">
            <v>NA</v>
          </cell>
        </row>
        <row r="24">
          <cell r="A24" t="str">
            <v>0228EF31315460610</v>
          </cell>
          <cell r="B24" t="str">
            <v>Complexo Público Privado de Ribeirão das Neves II</v>
          </cell>
          <cell r="C24"/>
          <cell r="D24"/>
          <cell r="E24"/>
          <cell r="F24"/>
          <cell r="G24"/>
          <cell r="H24" t="str">
            <v>NA</v>
          </cell>
          <cell r="I24" t="str">
            <v>NA</v>
          </cell>
          <cell r="J24"/>
          <cell r="K24"/>
          <cell r="L24"/>
          <cell r="M24"/>
          <cell r="N24"/>
          <cell r="O24" t="str">
            <v>NA</v>
          </cell>
        </row>
      </sheetData>
      <sheetData sheetId="1">
        <row r="2">
          <cell r="A2" t="str">
            <v>0169MO31310620002</v>
          </cell>
          <cell r="B2" t="str">
            <v>Unidade Gestora de Monitoração Eletrônica de Belo Horizonte I - DOMICILIAR</v>
          </cell>
          <cell r="C2"/>
          <cell r="D2"/>
          <cell r="E2"/>
          <cell r="F2"/>
          <cell r="G2"/>
          <cell r="H2">
            <v>10690.05</v>
          </cell>
          <cell r="I2">
            <v>13988.05</v>
          </cell>
          <cell r="J2"/>
          <cell r="K2"/>
          <cell r="L2"/>
          <cell r="M2"/>
          <cell r="N2"/>
          <cell r="O2">
            <v>13565.44</v>
          </cell>
        </row>
        <row r="3">
          <cell r="A3" t="str">
            <v>0170EF31310620011</v>
          </cell>
          <cell r="B3" t="str">
            <v>Penitenciária de Belo Horizonte I - Estevão Pinto</v>
          </cell>
          <cell r="C3"/>
          <cell r="D3"/>
          <cell r="E3"/>
          <cell r="F3"/>
          <cell r="G3"/>
          <cell r="H3">
            <v>204274.05</v>
          </cell>
          <cell r="I3">
            <v>16863.16</v>
          </cell>
          <cell r="J3"/>
          <cell r="K3"/>
          <cell r="L3"/>
          <cell r="M3"/>
          <cell r="N3"/>
          <cell r="O3">
            <v>0</v>
          </cell>
        </row>
        <row r="4">
          <cell r="A4" t="str">
            <v>0171EF31311430300</v>
          </cell>
          <cell r="B4" t="str">
            <v>Penitenciária de Carmo do Parnaíba I</v>
          </cell>
          <cell r="C4"/>
          <cell r="D4"/>
          <cell r="E4"/>
          <cell r="F4"/>
          <cell r="G4"/>
          <cell r="H4">
            <v>137646.51999999999</v>
          </cell>
          <cell r="I4">
            <v>13837.04</v>
          </cell>
          <cell r="J4"/>
          <cell r="K4"/>
          <cell r="L4"/>
          <cell r="M4"/>
          <cell r="N4"/>
          <cell r="O4">
            <v>6782.72</v>
          </cell>
        </row>
        <row r="5">
          <cell r="A5" t="str">
            <v>0172EF31311860112</v>
          </cell>
          <cell r="B5" t="str">
            <v>Penitenciária de Contagem I - Nelson Hungria</v>
          </cell>
          <cell r="C5"/>
          <cell r="D5"/>
          <cell r="E5"/>
          <cell r="F5"/>
          <cell r="G5"/>
          <cell r="H5">
            <v>253914.83000000005</v>
          </cell>
          <cell r="I5">
            <v>26512.550000000003</v>
          </cell>
          <cell r="J5"/>
          <cell r="K5"/>
          <cell r="L5"/>
          <cell r="M5"/>
          <cell r="N5"/>
          <cell r="O5">
            <v>13444.33</v>
          </cell>
        </row>
        <row r="6">
          <cell r="A6" t="str">
            <v>0173EF31312610910</v>
          </cell>
          <cell r="B6" t="str">
            <v>Penitenciária de Formiga I</v>
          </cell>
          <cell r="C6"/>
          <cell r="D6"/>
          <cell r="E6"/>
          <cell r="F6"/>
          <cell r="G6"/>
          <cell r="H6">
            <v>139116.56000000003</v>
          </cell>
          <cell r="I6">
            <v>13751.49</v>
          </cell>
          <cell r="J6"/>
          <cell r="K6"/>
          <cell r="L6"/>
          <cell r="M6"/>
          <cell r="N6"/>
          <cell r="O6">
            <v>6782.72</v>
          </cell>
        </row>
        <row r="7">
          <cell r="A7" t="str">
            <v>0174EF31312770100</v>
          </cell>
          <cell r="B7" t="str">
            <v>Penitenciária de Governador Valadares I - Francisco Floriano de Paula</v>
          </cell>
          <cell r="C7"/>
          <cell r="D7"/>
          <cell r="E7"/>
          <cell r="F7"/>
          <cell r="G7"/>
          <cell r="H7">
            <v>205516.49</v>
          </cell>
          <cell r="I7">
            <v>25149.13</v>
          </cell>
          <cell r="J7"/>
          <cell r="K7"/>
          <cell r="L7"/>
          <cell r="M7"/>
          <cell r="N7"/>
          <cell r="O7">
            <v>6782.72</v>
          </cell>
        </row>
        <row r="8">
          <cell r="A8" t="str">
            <v>0175EF31313115800</v>
          </cell>
          <cell r="B8" t="str">
            <v>Penitenciária de Ipaba I - Dênio Moreira de Carvalho</v>
          </cell>
          <cell r="C8"/>
          <cell r="D8"/>
          <cell r="E8"/>
          <cell r="F8"/>
          <cell r="G8"/>
          <cell r="H8">
            <v>201718.83</v>
          </cell>
          <cell r="I8">
            <v>13246.900000000001</v>
          </cell>
          <cell r="J8"/>
          <cell r="K8"/>
          <cell r="L8"/>
          <cell r="M8"/>
          <cell r="N8"/>
          <cell r="O8">
            <v>6782.72</v>
          </cell>
        </row>
        <row r="9">
          <cell r="A9" t="str">
            <v>0176EF31313670212</v>
          </cell>
          <cell r="B9" t="str">
            <v>Penitenciária de Juiz de Fora I - José Edson Cavalieri</v>
          </cell>
          <cell r="C9"/>
          <cell r="D9"/>
          <cell r="E9"/>
          <cell r="F9"/>
          <cell r="G9"/>
          <cell r="H9">
            <v>5620.71</v>
          </cell>
          <cell r="I9">
            <v>15584.8</v>
          </cell>
          <cell r="J9"/>
          <cell r="K9"/>
          <cell r="L9"/>
          <cell r="M9"/>
          <cell r="N9"/>
          <cell r="O9">
            <v>6661.61</v>
          </cell>
        </row>
        <row r="10">
          <cell r="A10" t="str">
            <v>0177EF31313670202</v>
          </cell>
          <cell r="B10" t="str">
            <v>Penitenciária de Juiz de Fora II</v>
          </cell>
          <cell r="C10"/>
          <cell r="D10"/>
          <cell r="E10"/>
          <cell r="F10"/>
          <cell r="G10"/>
          <cell r="H10">
            <v>4374.21</v>
          </cell>
          <cell r="I10">
            <v>9916.08</v>
          </cell>
          <cell r="J10"/>
          <cell r="K10"/>
          <cell r="L10"/>
          <cell r="M10"/>
          <cell r="N10"/>
          <cell r="O10">
            <v>6661.61</v>
          </cell>
        </row>
        <row r="11">
          <cell r="A11" t="str">
            <v>0178EF31314390610</v>
          </cell>
          <cell r="B11" t="str">
            <v>Penitenciária de Muriaé I</v>
          </cell>
          <cell r="C11"/>
          <cell r="D11"/>
          <cell r="E11"/>
          <cell r="F11"/>
          <cell r="G11"/>
          <cell r="H11">
            <v>1647.5900000000001</v>
          </cell>
          <cell r="I11">
            <v>14796.77</v>
          </cell>
          <cell r="J11"/>
          <cell r="K11"/>
          <cell r="L11"/>
          <cell r="M11"/>
          <cell r="N11"/>
          <cell r="O11">
            <v>6782.72</v>
          </cell>
        </row>
        <row r="12">
          <cell r="A12" t="str">
            <v>0179EF31314710512</v>
          </cell>
          <cell r="B12" t="str">
            <v>Penitenciária de Pará de Minas I - Doutor Pio Soares Canedo</v>
          </cell>
          <cell r="C12"/>
          <cell r="D12"/>
          <cell r="E12"/>
          <cell r="F12"/>
          <cell r="G12"/>
          <cell r="H12">
            <v>5970.78</v>
          </cell>
          <cell r="I12">
            <v>35470.300000000003</v>
          </cell>
          <cell r="J12"/>
          <cell r="K12"/>
          <cell r="L12"/>
          <cell r="M12"/>
          <cell r="N12"/>
          <cell r="O12">
            <v>6782.72</v>
          </cell>
        </row>
        <row r="13">
          <cell r="A13" t="str">
            <v>0180EF31314810310</v>
          </cell>
          <cell r="B13" t="str">
            <v>Penitenciária de Patrocínio I</v>
          </cell>
          <cell r="C13"/>
          <cell r="D13"/>
          <cell r="E13"/>
          <cell r="F13"/>
          <cell r="G13"/>
          <cell r="H13">
            <v>201542.13</v>
          </cell>
          <cell r="I13">
            <v>16066.34</v>
          </cell>
          <cell r="J13"/>
          <cell r="K13"/>
          <cell r="L13"/>
          <cell r="M13"/>
          <cell r="N13"/>
          <cell r="O13">
            <v>12835.29</v>
          </cell>
        </row>
        <row r="14">
          <cell r="A14" t="str">
            <v>0181EF31315210510</v>
          </cell>
          <cell r="B14" t="str">
            <v>Penitenciária de Ponte Nova I</v>
          </cell>
          <cell r="C14"/>
          <cell r="D14"/>
          <cell r="E14"/>
          <cell r="F14"/>
          <cell r="G14"/>
          <cell r="H14">
            <v>207463.38999999998</v>
          </cell>
          <cell r="I14">
            <v>15344.04</v>
          </cell>
          <cell r="J14"/>
          <cell r="K14"/>
          <cell r="L14"/>
          <cell r="M14"/>
          <cell r="N14"/>
          <cell r="O14">
            <v>12835.29</v>
          </cell>
        </row>
        <row r="15">
          <cell r="A15" t="str">
            <v>0182EF31315460612</v>
          </cell>
          <cell r="B15" t="str">
            <v>Penitenciária de Ribeirão das Neves I - José Maria Alkimin</v>
          </cell>
          <cell r="C15"/>
          <cell r="D15"/>
          <cell r="E15"/>
          <cell r="F15"/>
          <cell r="G15"/>
          <cell r="H15">
            <v>244255.24000000005</v>
          </cell>
          <cell r="I15">
            <v>33814.61</v>
          </cell>
          <cell r="J15"/>
          <cell r="K15"/>
          <cell r="L15"/>
          <cell r="M15"/>
          <cell r="N15"/>
          <cell r="O15">
            <v>12835.29</v>
          </cell>
        </row>
        <row r="16">
          <cell r="A16" t="str">
            <v>0183EF31316292210</v>
          </cell>
          <cell r="B16" t="str">
            <v>Penitenciária de São Joaquim de Bicas I - Professor Jason Soares de Albergaria</v>
          </cell>
          <cell r="C16"/>
          <cell r="D16"/>
          <cell r="E16"/>
          <cell r="F16"/>
          <cell r="G16"/>
          <cell r="H16">
            <v>203151.25</v>
          </cell>
          <cell r="I16">
            <v>30061.59</v>
          </cell>
          <cell r="J16"/>
          <cell r="K16"/>
          <cell r="L16"/>
          <cell r="M16"/>
          <cell r="N16"/>
          <cell r="O16">
            <v>12835.29</v>
          </cell>
        </row>
        <row r="17">
          <cell r="A17" t="str">
            <v>0184EF31312670310</v>
          </cell>
          <cell r="B17" t="str">
            <v>Penitenciária de Segurança Máxima de Francisco Sá I</v>
          </cell>
          <cell r="C17"/>
          <cell r="D17"/>
          <cell r="E17"/>
          <cell r="F17"/>
          <cell r="G17"/>
          <cell r="H17">
            <v>200747.6</v>
          </cell>
          <cell r="I17">
            <v>36026.25</v>
          </cell>
          <cell r="J17"/>
          <cell r="K17"/>
          <cell r="L17"/>
          <cell r="M17"/>
          <cell r="N17"/>
          <cell r="O17">
            <v>6782.72</v>
          </cell>
        </row>
        <row r="18">
          <cell r="A18" t="str">
            <v>0185EF31316860600</v>
          </cell>
          <cell r="B18" t="str">
            <v>Penitenciária de Teófilo Otoni I</v>
          </cell>
          <cell r="C18"/>
          <cell r="D18"/>
          <cell r="E18"/>
          <cell r="F18"/>
          <cell r="G18"/>
          <cell r="H18">
            <v>139457.74000000002</v>
          </cell>
          <cell r="I18">
            <v>14291.77</v>
          </cell>
          <cell r="J18"/>
          <cell r="K18"/>
          <cell r="L18"/>
          <cell r="M18"/>
          <cell r="N18"/>
          <cell r="O18">
            <v>6782.72</v>
          </cell>
        </row>
        <row r="19">
          <cell r="A19" t="str">
            <v>0186EF31316930702</v>
          </cell>
          <cell r="B19" t="str">
            <v>Penitenciária de Três Corações I</v>
          </cell>
          <cell r="C19"/>
          <cell r="D19"/>
          <cell r="E19"/>
          <cell r="F19"/>
          <cell r="G19"/>
          <cell r="H19">
            <v>204785.99</v>
          </cell>
          <cell r="I19">
            <v>19371.989999999998</v>
          </cell>
          <cell r="J19"/>
          <cell r="K19"/>
          <cell r="L19"/>
          <cell r="M19"/>
          <cell r="N19"/>
          <cell r="O19">
            <v>6782.72</v>
          </cell>
        </row>
        <row r="20">
          <cell r="A20" t="str">
            <v>0187EF31317010712</v>
          </cell>
          <cell r="B20" t="str">
            <v>Penitenciária de Uberaba I</v>
          </cell>
          <cell r="C20"/>
          <cell r="D20"/>
          <cell r="E20"/>
          <cell r="F20"/>
          <cell r="G20"/>
          <cell r="H20">
            <v>8005.26</v>
          </cell>
          <cell r="I20">
            <v>76210.240000000005</v>
          </cell>
          <cell r="J20"/>
          <cell r="K20"/>
          <cell r="L20"/>
          <cell r="M20"/>
          <cell r="N20"/>
          <cell r="O20">
            <v>6782.72</v>
          </cell>
        </row>
        <row r="21">
          <cell r="A21" t="str">
            <v>0188EF31317020612</v>
          </cell>
          <cell r="B21" t="str">
            <v>Penitenciária de Uberlândia I - Professor João Pimenta Da Veiga</v>
          </cell>
          <cell r="C21"/>
          <cell r="D21"/>
          <cell r="E21"/>
          <cell r="F21"/>
          <cell r="G21"/>
          <cell r="H21">
            <v>5655.75</v>
          </cell>
          <cell r="I21">
            <v>39348.93</v>
          </cell>
          <cell r="J21"/>
          <cell r="K21"/>
          <cell r="L21"/>
          <cell r="M21"/>
          <cell r="N21"/>
          <cell r="O21">
            <v>6782.72</v>
          </cell>
        </row>
        <row r="22">
          <cell r="A22" t="str">
            <v>0189EF31317040402</v>
          </cell>
          <cell r="B22" t="str">
            <v>Penitenciária de Unaí I - Agostinho de Oliveira Júnior</v>
          </cell>
          <cell r="C22"/>
          <cell r="D22"/>
          <cell r="E22"/>
          <cell r="F22"/>
          <cell r="G22"/>
          <cell r="H22">
            <v>5081.6299999999992</v>
          </cell>
          <cell r="I22">
            <v>57904.93</v>
          </cell>
          <cell r="J22"/>
          <cell r="K22"/>
          <cell r="L22"/>
          <cell r="M22"/>
          <cell r="N22"/>
          <cell r="O22">
            <v>6782.72</v>
          </cell>
        </row>
        <row r="23">
          <cell r="A23" t="str">
            <v>0227EF31315460610</v>
          </cell>
          <cell r="B23" t="str">
            <v>Complexo Público Privado de Ribeirão das Neves I</v>
          </cell>
          <cell r="C23"/>
          <cell r="D23"/>
          <cell r="E23"/>
          <cell r="F23"/>
          <cell r="G23"/>
          <cell r="H23" t="str">
            <v>NA</v>
          </cell>
          <cell r="I23" t="str">
            <v>NA</v>
          </cell>
          <cell r="J23"/>
          <cell r="K23"/>
          <cell r="L23"/>
          <cell r="M23"/>
          <cell r="N23"/>
          <cell r="O23" t="str">
            <v>NA</v>
          </cell>
        </row>
        <row r="24">
          <cell r="A24" t="str">
            <v>0228EF31315460610</v>
          </cell>
          <cell r="B24" t="str">
            <v>Complexo Público Privado de Ribeirão das Neves II</v>
          </cell>
          <cell r="C24"/>
          <cell r="D24"/>
          <cell r="E24"/>
          <cell r="F24"/>
          <cell r="G24"/>
          <cell r="H24" t="str">
            <v>NA</v>
          </cell>
          <cell r="I24" t="str">
            <v>NA</v>
          </cell>
          <cell r="J24"/>
          <cell r="K24"/>
          <cell r="L24"/>
          <cell r="M24"/>
          <cell r="N24"/>
          <cell r="O24" t="str">
            <v>NA</v>
          </cell>
        </row>
      </sheetData>
      <sheetData sheetId="2">
        <row r="2">
          <cell r="A2" t="str">
            <v>0169MO31310620002</v>
          </cell>
          <cell r="B2" t="str">
            <v>Unidade Gestora de Monitoração Eletrônica de Belo Horizonte I - DOMICILIAR</v>
          </cell>
          <cell r="C2"/>
          <cell r="D2"/>
          <cell r="E2"/>
          <cell r="F2"/>
          <cell r="G2"/>
          <cell r="H2">
            <v>9324.31</v>
          </cell>
          <cell r="I2">
            <v>9286.2199999999993</v>
          </cell>
          <cell r="J2"/>
          <cell r="K2"/>
          <cell r="L2"/>
          <cell r="M2"/>
          <cell r="N2"/>
          <cell r="O2">
            <v>14872.32</v>
          </cell>
        </row>
        <row r="3">
          <cell r="A3" t="str">
            <v>0170EF31310620011</v>
          </cell>
          <cell r="B3" t="str">
            <v>Penitenciária de Belo Horizonte I - Estevão Pinto</v>
          </cell>
          <cell r="C3"/>
          <cell r="D3"/>
          <cell r="E3"/>
          <cell r="F3"/>
          <cell r="G3"/>
          <cell r="H3">
            <v>204406.43</v>
          </cell>
          <cell r="I3">
            <v>27757.4</v>
          </cell>
          <cell r="J3"/>
          <cell r="K3"/>
          <cell r="L3"/>
          <cell r="M3"/>
          <cell r="N3"/>
          <cell r="O3">
            <v>0</v>
          </cell>
        </row>
        <row r="4">
          <cell r="A4" t="str">
            <v>0171EF31311430300</v>
          </cell>
          <cell r="B4" t="str">
            <v>Penitenciária de Carmo do Parnaíba I</v>
          </cell>
          <cell r="C4"/>
          <cell r="D4"/>
          <cell r="E4"/>
          <cell r="F4"/>
          <cell r="G4"/>
          <cell r="H4">
            <v>251328.99000000002</v>
          </cell>
          <cell r="I4">
            <v>15554.77</v>
          </cell>
          <cell r="J4"/>
          <cell r="K4"/>
          <cell r="L4"/>
          <cell r="M4"/>
          <cell r="N4"/>
          <cell r="O4">
            <v>6863.16</v>
          </cell>
        </row>
        <row r="5">
          <cell r="A5" t="str">
            <v>0172EF31311860112</v>
          </cell>
          <cell r="B5" t="str">
            <v>Penitenciária de Contagem I - Nelson Hungria</v>
          </cell>
          <cell r="C5"/>
          <cell r="D5"/>
          <cell r="E5"/>
          <cell r="F5"/>
          <cell r="G5"/>
          <cell r="H5">
            <v>259100.53</v>
          </cell>
          <cell r="I5">
            <v>14549.640000000001</v>
          </cell>
          <cell r="J5"/>
          <cell r="K5"/>
          <cell r="L5"/>
          <cell r="M5"/>
          <cell r="N5"/>
          <cell r="O5">
            <v>14739.6</v>
          </cell>
        </row>
        <row r="6">
          <cell r="A6" t="str">
            <v>0173EF31312610910</v>
          </cell>
          <cell r="B6" t="str">
            <v>Penitenciária de Formiga I</v>
          </cell>
          <cell r="C6"/>
          <cell r="D6"/>
          <cell r="E6"/>
          <cell r="F6"/>
          <cell r="G6"/>
          <cell r="H6">
            <v>253402.33000000002</v>
          </cell>
          <cell r="I6">
            <v>27526.74</v>
          </cell>
          <cell r="J6"/>
          <cell r="K6"/>
          <cell r="L6"/>
          <cell r="M6"/>
          <cell r="N6"/>
          <cell r="O6">
            <v>6863.16</v>
          </cell>
        </row>
        <row r="7">
          <cell r="A7" t="str">
            <v>0174EF31312770100</v>
          </cell>
          <cell r="B7" t="str">
            <v>Penitenciária de Governador Valadares I - Francisco Floriano de Paula</v>
          </cell>
          <cell r="C7"/>
          <cell r="D7"/>
          <cell r="E7"/>
          <cell r="F7"/>
          <cell r="G7"/>
          <cell r="H7">
            <v>204431.82</v>
          </cell>
          <cell r="I7">
            <v>51592.22</v>
          </cell>
          <cell r="J7"/>
          <cell r="K7"/>
          <cell r="L7"/>
          <cell r="M7"/>
          <cell r="N7"/>
          <cell r="O7">
            <v>6863.16</v>
          </cell>
        </row>
        <row r="8">
          <cell r="A8" t="str">
            <v>0175EF31313115800</v>
          </cell>
          <cell r="B8" t="str">
            <v>Penitenciária de Ipaba I - Dênio Moreira de Carvalho</v>
          </cell>
          <cell r="C8"/>
          <cell r="D8"/>
          <cell r="E8"/>
          <cell r="F8"/>
          <cell r="G8"/>
          <cell r="H8">
            <v>203829.55</v>
          </cell>
          <cell r="I8">
            <v>29639.919999999998</v>
          </cell>
          <cell r="J8"/>
          <cell r="K8"/>
          <cell r="L8"/>
          <cell r="M8"/>
          <cell r="N8"/>
          <cell r="O8">
            <v>619.67999999999995</v>
          </cell>
        </row>
        <row r="9">
          <cell r="A9" t="str">
            <v>0176EF31313670212</v>
          </cell>
          <cell r="B9" t="str">
            <v>Penitenciária de Juiz de Fora I - José Edson Cavalieri</v>
          </cell>
          <cell r="C9"/>
          <cell r="D9"/>
          <cell r="E9"/>
          <cell r="F9"/>
          <cell r="G9"/>
          <cell r="H9">
            <v>8026.88</v>
          </cell>
          <cell r="I9">
            <v>41115.600000000006</v>
          </cell>
          <cell r="J9"/>
          <cell r="K9"/>
          <cell r="L9"/>
          <cell r="M9"/>
          <cell r="N9"/>
          <cell r="O9">
            <v>6740.64</v>
          </cell>
        </row>
        <row r="10">
          <cell r="A10" t="str">
            <v>0177EF31313670202</v>
          </cell>
          <cell r="B10" t="str">
            <v>Penitenciária de Juiz de Fora II</v>
          </cell>
          <cell r="C10"/>
          <cell r="D10"/>
          <cell r="E10"/>
          <cell r="F10"/>
          <cell r="G10"/>
          <cell r="H10">
            <v>4878.55</v>
          </cell>
          <cell r="I10">
            <v>30685.47</v>
          </cell>
          <cell r="J10"/>
          <cell r="K10"/>
          <cell r="L10"/>
          <cell r="M10"/>
          <cell r="N10"/>
          <cell r="O10">
            <v>6740.64</v>
          </cell>
        </row>
        <row r="11">
          <cell r="A11" t="str">
            <v>0178EF31314390610</v>
          </cell>
          <cell r="B11" t="str">
            <v>Penitenciária de Muriaé I</v>
          </cell>
          <cell r="C11"/>
          <cell r="D11"/>
          <cell r="E11"/>
          <cell r="F11"/>
          <cell r="G11"/>
          <cell r="H11">
            <v>2178.6799999999998</v>
          </cell>
          <cell r="I11">
            <v>31478.93</v>
          </cell>
          <cell r="J11"/>
          <cell r="K11"/>
          <cell r="L11"/>
          <cell r="M11"/>
          <cell r="N11"/>
          <cell r="O11">
            <v>6127.8</v>
          </cell>
        </row>
        <row r="12">
          <cell r="A12" t="str">
            <v>0179EF31314710512</v>
          </cell>
          <cell r="B12" t="str">
            <v>Penitenciária de Pará de Minas I - Doutor Pio Soares Canedo</v>
          </cell>
          <cell r="C12"/>
          <cell r="D12"/>
          <cell r="E12"/>
          <cell r="F12"/>
          <cell r="G12"/>
          <cell r="H12">
            <v>7115.07</v>
          </cell>
          <cell r="I12">
            <v>36576.93</v>
          </cell>
          <cell r="J12"/>
          <cell r="K12"/>
          <cell r="L12"/>
          <cell r="M12"/>
          <cell r="N12"/>
          <cell r="O12">
            <v>6863.16</v>
          </cell>
        </row>
        <row r="13">
          <cell r="A13" t="str">
            <v>0180EF31314810310</v>
          </cell>
          <cell r="B13" t="str">
            <v>Penitenciária de Patrocínio I</v>
          </cell>
          <cell r="C13"/>
          <cell r="D13"/>
          <cell r="E13"/>
          <cell r="F13"/>
          <cell r="G13"/>
          <cell r="H13">
            <v>206075.08</v>
          </cell>
          <cell r="I13">
            <v>32129.360000000001</v>
          </cell>
          <cell r="J13"/>
          <cell r="K13"/>
          <cell r="L13"/>
          <cell r="M13"/>
          <cell r="N13"/>
          <cell r="O13">
            <v>12990.96</v>
          </cell>
        </row>
        <row r="14">
          <cell r="A14" t="str">
            <v>0181EF31315210510</v>
          </cell>
          <cell r="B14" t="str">
            <v>Penitenciária de Ponte Nova I</v>
          </cell>
          <cell r="C14"/>
          <cell r="D14"/>
          <cell r="E14"/>
          <cell r="F14"/>
          <cell r="G14"/>
          <cell r="H14">
            <v>210797.88</v>
          </cell>
          <cell r="I14">
            <v>30276.58</v>
          </cell>
          <cell r="J14"/>
          <cell r="K14"/>
          <cell r="L14"/>
          <cell r="M14"/>
          <cell r="N14"/>
          <cell r="O14">
            <v>1172.97</v>
          </cell>
        </row>
        <row r="15">
          <cell r="A15" t="str">
            <v>0182EF31315460612</v>
          </cell>
          <cell r="B15" t="str">
            <v>Penitenciária de Ribeirão das Neves I - José Maria Alkimin</v>
          </cell>
          <cell r="C15"/>
          <cell r="D15"/>
          <cell r="E15"/>
          <cell r="F15"/>
          <cell r="G15"/>
          <cell r="H15">
            <v>260181.73</v>
          </cell>
          <cell r="I15">
            <v>14615.66</v>
          </cell>
          <cell r="J15"/>
          <cell r="K15"/>
          <cell r="L15"/>
          <cell r="M15"/>
          <cell r="N15"/>
          <cell r="O15">
            <v>14075.64</v>
          </cell>
        </row>
        <row r="16">
          <cell r="A16" t="str">
            <v>0183EF31316292210</v>
          </cell>
          <cell r="B16" t="str">
            <v>Penitenciária de São Joaquim de Bicas I - Professor Jason Soares de Albergaria</v>
          </cell>
          <cell r="C16"/>
          <cell r="D16"/>
          <cell r="E16"/>
          <cell r="F16"/>
          <cell r="G16"/>
          <cell r="H16">
            <v>202711.98</v>
          </cell>
          <cell r="I16">
            <v>16546.32</v>
          </cell>
          <cell r="J16"/>
          <cell r="K16"/>
          <cell r="L16"/>
          <cell r="M16"/>
          <cell r="N16"/>
          <cell r="O16">
            <v>7436.16</v>
          </cell>
        </row>
        <row r="17">
          <cell r="A17" t="str">
            <v>0184EF31312670310</v>
          </cell>
          <cell r="B17" t="str">
            <v>Penitenciária de Segurança Máxima de Francisco Sá I</v>
          </cell>
          <cell r="C17"/>
          <cell r="D17"/>
          <cell r="E17"/>
          <cell r="F17"/>
          <cell r="G17"/>
          <cell r="H17">
            <v>204431.82</v>
          </cell>
          <cell r="I17">
            <v>69164.7</v>
          </cell>
          <cell r="J17"/>
          <cell r="K17"/>
          <cell r="L17"/>
          <cell r="M17"/>
          <cell r="N17"/>
          <cell r="O17">
            <v>6863.16</v>
          </cell>
        </row>
        <row r="18">
          <cell r="A18" t="str">
            <v>0185EF31316860600</v>
          </cell>
          <cell r="B18" t="str">
            <v>Penitenciária de Teófilo Otoni I</v>
          </cell>
          <cell r="C18"/>
          <cell r="D18"/>
          <cell r="E18"/>
          <cell r="F18"/>
          <cell r="G18"/>
          <cell r="H18">
            <v>251540.1</v>
          </cell>
          <cell r="I18">
            <v>57253.21</v>
          </cell>
          <cell r="J18"/>
          <cell r="K18"/>
          <cell r="L18"/>
          <cell r="M18"/>
          <cell r="N18"/>
          <cell r="O18">
            <v>6863.16</v>
          </cell>
        </row>
        <row r="19">
          <cell r="A19" t="str">
            <v>0186EF31316930702</v>
          </cell>
          <cell r="B19" t="str">
            <v>Penitenciária de Três Corações I</v>
          </cell>
          <cell r="C19"/>
          <cell r="D19"/>
          <cell r="E19"/>
          <cell r="F19"/>
          <cell r="G19"/>
          <cell r="H19">
            <v>206044.77</v>
          </cell>
          <cell r="I19">
            <v>22397.96</v>
          </cell>
          <cell r="J19"/>
          <cell r="K19"/>
          <cell r="L19"/>
          <cell r="M19"/>
          <cell r="N19"/>
          <cell r="O19">
            <v>6863.16</v>
          </cell>
        </row>
        <row r="20">
          <cell r="A20" t="str">
            <v>0187EF31317010712</v>
          </cell>
          <cell r="B20" t="str">
            <v>Penitenciária de Uberaba I</v>
          </cell>
          <cell r="C20"/>
          <cell r="D20"/>
          <cell r="E20"/>
          <cell r="F20"/>
          <cell r="G20"/>
          <cell r="H20">
            <v>254185.06</v>
          </cell>
          <cell r="I20">
            <v>63236.800000000003</v>
          </cell>
          <cell r="J20"/>
          <cell r="K20"/>
          <cell r="L20"/>
          <cell r="M20"/>
          <cell r="N20"/>
          <cell r="O20">
            <v>6863.16</v>
          </cell>
        </row>
        <row r="21">
          <cell r="A21" t="str">
            <v>0188EF31317020612</v>
          </cell>
          <cell r="B21" t="str">
            <v>Penitenciária de Uberlândia I - Professor João Pimenta Da Veiga</v>
          </cell>
          <cell r="C21"/>
          <cell r="D21"/>
          <cell r="E21"/>
          <cell r="F21"/>
          <cell r="G21"/>
          <cell r="H21">
            <v>251847.55000000002</v>
          </cell>
          <cell r="I21">
            <v>25293.019999999997</v>
          </cell>
          <cell r="J21"/>
          <cell r="K21"/>
          <cell r="L21"/>
          <cell r="M21"/>
          <cell r="N21"/>
          <cell r="O21">
            <v>6863.16</v>
          </cell>
        </row>
        <row r="22">
          <cell r="A22" t="str">
            <v>0189EF31317040402</v>
          </cell>
          <cell r="B22" t="str">
            <v>Penitenciária de Unaí I - Agostinho de Oliveira Júnior</v>
          </cell>
          <cell r="C22"/>
          <cell r="D22"/>
          <cell r="E22"/>
          <cell r="F22"/>
          <cell r="G22"/>
          <cell r="H22">
            <v>6223.26</v>
          </cell>
          <cell r="I22">
            <v>31823.75</v>
          </cell>
          <cell r="J22"/>
          <cell r="K22"/>
          <cell r="L22"/>
          <cell r="M22"/>
          <cell r="N22"/>
          <cell r="O22">
            <v>6863.16</v>
          </cell>
        </row>
        <row r="23">
          <cell r="A23" t="str">
            <v>0227EF31315460610</v>
          </cell>
          <cell r="B23" t="str">
            <v>Complexo Público Privado de Ribeirão das Neves I</v>
          </cell>
          <cell r="C23"/>
          <cell r="D23"/>
          <cell r="E23"/>
          <cell r="F23"/>
          <cell r="G23"/>
          <cell r="H23" t="str">
            <v>NA</v>
          </cell>
          <cell r="I23" t="str">
            <v>NA</v>
          </cell>
          <cell r="J23"/>
          <cell r="K23"/>
          <cell r="L23"/>
          <cell r="M23"/>
          <cell r="N23"/>
          <cell r="O23" t="str">
            <v>NA</v>
          </cell>
        </row>
        <row r="24">
          <cell r="A24" t="str">
            <v>0228EF31315460610</v>
          </cell>
          <cell r="B24" t="str">
            <v>Complexo Público Privado de Ribeirão das Neves II</v>
          </cell>
          <cell r="C24"/>
          <cell r="D24"/>
          <cell r="E24"/>
          <cell r="F24"/>
          <cell r="G24"/>
          <cell r="H24" t="str">
            <v>NA</v>
          </cell>
          <cell r="I24" t="str">
            <v>NA</v>
          </cell>
          <cell r="J24"/>
          <cell r="K24"/>
          <cell r="L24"/>
          <cell r="M24"/>
          <cell r="N24"/>
          <cell r="O24" t="str">
            <v>NA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9"/>
      <sheetName val="2020"/>
      <sheetName val="2021"/>
    </sheetNames>
    <sheetDataSet>
      <sheetData sheetId="0">
        <row r="2">
          <cell r="A2" t="str">
            <v>0169MO31310620002</v>
          </cell>
          <cell r="B2" t="str">
            <v>Unidade Gestora de Monitoração Eletrônica de Belo Horizonte I - DOMICILIAR</v>
          </cell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>
            <v>0</v>
          </cell>
        </row>
        <row r="3">
          <cell r="A3" t="str">
            <v>0170EF31310620011</v>
          </cell>
          <cell r="B3" t="str">
            <v>Penitenciária de Belo Horizonte I - Estevão Pinto</v>
          </cell>
          <cell r="C3"/>
          <cell r="D3"/>
          <cell r="E3"/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>
            <v>1940520.69</v>
          </cell>
        </row>
        <row r="4">
          <cell r="A4" t="str">
            <v>0171EF31311430300</v>
          </cell>
          <cell r="B4" t="str">
            <v>Penitenciária de Carmo do Parnaíba I</v>
          </cell>
          <cell r="C4"/>
          <cell r="D4"/>
          <cell r="E4"/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>
            <v>2557208.8000000003</v>
          </cell>
        </row>
        <row r="5">
          <cell r="A5" t="str">
            <v>0172EF31311860112</v>
          </cell>
          <cell r="B5" t="str">
            <v>Penitenciária de Contagem I - Nelson Hungria</v>
          </cell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>
            <v>8333730.0700000003</v>
          </cell>
        </row>
        <row r="6">
          <cell r="A6" t="str">
            <v>0173EF31312610910</v>
          </cell>
          <cell r="B6" t="str">
            <v>Penitenciária de Formiga I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>
            <v>3959235.52</v>
          </cell>
        </row>
        <row r="7">
          <cell r="A7" t="str">
            <v>0174EF31312770100</v>
          </cell>
          <cell r="B7" t="str">
            <v>Penitenciária de Governador Valadares I - Francisco Floriano de Paula</v>
          </cell>
          <cell r="C7"/>
          <cell r="D7"/>
          <cell r="E7"/>
          <cell r="F7"/>
          <cell r="G7"/>
          <cell r="H7"/>
          <cell r="I7"/>
          <cell r="J7"/>
          <cell r="K7"/>
          <cell r="L7"/>
          <cell r="M7"/>
          <cell r="N7"/>
          <cell r="O7"/>
          <cell r="P7"/>
          <cell r="Q7"/>
          <cell r="R7">
            <v>5215089.8100000005</v>
          </cell>
        </row>
        <row r="8">
          <cell r="A8" t="str">
            <v>0175EF31313115800</v>
          </cell>
          <cell r="B8" t="str">
            <v>Penitenciária de Ipaba I - Dênio Moreira de Carvalho</v>
          </cell>
          <cell r="C8"/>
          <cell r="D8"/>
          <cell r="E8"/>
          <cell r="F8"/>
          <cell r="G8"/>
          <cell r="H8"/>
          <cell r="I8"/>
          <cell r="J8"/>
          <cell r="K8"/>
          <cell r="L8"/>
          <cell r="M8"/>
          <cell r="N8"/>
          <cell r="O8"/>
          <cell r="P8"/>
          <cell r="Q8"/>
          <cell r="R8">
            <v>5529200.04</v>
          </cell>
        </row>
        <row r="9">
          <cell r="A9" t="str">
            <v>0176EF31313670212</v>
          </cell>
          <cell r="B9" t="str">
            <v>Penitenciária de Juiz de Fora I - José Edson Cavalieri</v>
          </cell>
          <cell r="C9"/>
          <cell r="D9"/>
          <cell r="E9"/>
          <cell r="F9"/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>
            <v>2393240.6800000002</v>
          </cell>
        </row>
        <row r="10">
          <cell r="A10" t="str">
            <v>0177EF31313670202</v>
          </cell>
          <cell r="B10" t="str">
            <v>Penitenciária de Juiz de Fora II</v>
          </cell>
          <cell r="C10"/>
          <cell r="D10"/>
          <cell r="E10"/>
          <cell r="F10"/>
          <cell r="G10"/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>
            <v>4342507.54</v>
          </cell>
        </row>
        <row r="11">
          <cell r="A11" t="str">
            <v>0178EF31314390610</v>
          </cell>
          <cell r="B11" t="str">
            <v>Penitenciária de Muriaé I</v>
          </cell>
          <cell r="C11"/>
          <cell r="D11"/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>
            <v>3575982.16</v>
          </cell>
        </row>
        <row r="12">
          <cell r="A12" t="str">
            <v>0179EF31314710512</v>
          </cell>
          <cell r="B12" t="str">
            <v>Penitenciária de Pará de Minas I - Doutor Pio Soares Canedo</v>
          </cell>
          <cell r="C12"/>
          <cell r="D12"/>
          <cell r="E12"/>
          <cell r="F12"/>
          <cell r="G12"/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>
            <v>3991358.85</v>
          </cell>
        </row>
        <row r="13">
          <cell r="A13" t="str">
            <v>0180EF31314810310</v>
          </cell>
          <cell r="B13" t="str">
            <v>Penitenciária de Patrocínio I</v>
          </cell>
          <cell r="C13"/>
          <cell r="D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>
            <v>4894364.8899999997</v>
          </cell>
        </row>
        <row r="14">
          <cell r="A14" t="str">
            <v>0181EF31315210510</v>
          </cell>
          <cell r="B14" t="str">
            <v>Penitenciária de Ponte Nova I</v>
          </cell>
          <cell r="C14"/>
          <cell r="D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>
            <v>4713862.0199999996</v>
          </cell>
        </row>
        <row r="15">
          <cell r="A15" t="str">
            <v>0182EF31315460612</v>
          </cell>
          <cell r="B15" t="str">
            <v>Penitenciária de Ribeirão das Neves I - José Maria Alkimin</v>
          </cell>
          <cell r="C15"/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>
            <v>8389202.7400000002</v>
          </cell>
        </row>
        <row r="16">
          <cell r="A16" t="str">
            <v>0183EF31316292210</v>
          </cell>
          <cell r="B16" t="str">
            <v>Penitenciária de São Joaquim de Bicas I - Professor Jason Soares de Albergaria</v>
          </cell>
          <cell r="C16"/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>
            <v>2798232.8800000004</v>
          </cell>
        </row>
        <row r="17">
          <cell r="A17" t="str">
            <v>0184EF31312670310</v>
          </cell>
          <cell r="B17" t="str">
            <v>Penitenciária de Segurança Máxima de Francisco Sá I</v>
          </cell>
          <cell r="C17"/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>
            <v>2465241.71</v>
          </cell>
        </row>
        <row r="18">
          <cell r="A18" t="str">
            <v>0185EF31316860600</v>
          </cell>
          <cell r="B18" t="str">
            <v>Penitenciária de Teófilo Otoni I</v>
          </cell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>
            <v>1568890.89</v>
          </cell>
        </row>
        <row r="19">
          <cell r="A19" t="str">
            <v>0186EF31316930702</v>
          </cell>
          <cell r="B19" t="str">
            <v>Penitenciária de Três Corações I</v>
          </cell>
          <cell r="C19"/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>
            <v>5120019.9799999995</v>
          </cell>
        </row>
        <row r="20">
          <cell r="A20" t="str">
            <v>0187EF31317010712</v>
          </cell>
          <cell r="B20" t="str">
            <v>Penitenciária de Uberaba I</v>
          </cell>
          <cell r="C20"/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>
            <v>6859846.8799999999</v>
          </cell>
        </row>
        <row r="21">
          <cell r="A21" t="str">
            <v>0188EF31317020612</v>
          </cell>
          <cell r="B21" t="str">
            <v>Penitenciária de Uberlândia I - Professor João Pimenta Da Veiga</v>
          </cell>
          <cell r="C21"/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>
            <v>2971148.53</v>
          </cell>
        </row>
        <row r="22">
          <cell r="A22" t="str">
            <v>0189EF31317040402</v>
          </cell>
          <cell r="B22" t="str">
            <v>Penitenciária de Unaí I - Agostinho de Oliveira Júnior</v>
          </cell>
          <cell r="C22"/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>
            <v>3523967.3</v>
          </cell>
        </row>
        <row r="23">
          <cell r="A23" t="str">
            <v>0227EF31315460610</v>
          </cell>
          <cell r="B23" t="str">
            <v>Complexo Público Privado de Ribeirão das Neves I</v>
          </cell>
          <cell r="C23"/>
          <cell r="D23"/>
          <cell r="E23"/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>
            <v>199089.5</v>
          </cell>
        </row>
        <row r="24">
          <cell r="A24" t="str">
            <v>0228EF31315460610</v>
          </cell>
          <cell r="B24" t="str">
            <v>Complexo Público Privado de Ribeirão das Neves II</v>
          </cell>
          <cell r="C24"/>
          <cell r="D24"/>
          <cell r="E24"/>
          <cell r="F24"/>
          <cell r="G24"/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>
            <v>0</v>
          </cell>
        </row>
      </sheetData>
      <sheetData sheetId="1">
        <row r="2">
          <cell r="A2" t="str">
            <v>0169MO31310620002</v>
          </cell>
          <cell r="B2" t="str">
            <v>Unidade Gestora de Monitoração Eletrônica de Belo Horizonte I - DOMICILIAR</v>
          </cell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>
            <v>0</v>
          </cell>
        </row>
        <row r="3">
          <cell r="A3" t="str">
            <v>0170EF31310620011</v>
          </cell>
          <cell r="B3" t="str">
            <v>Penitenciária de Belo Horizonte I - Estevão Pinto</v>
          </cell>
          <cell r="C3"/>
          <cell r="D3"/>
          <cell r="E3"/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>
            <v>1360365.77</v>
          </cell>
        </row>
        <row r="4">
          <cell r="A4" t="str">
            <v>0171EF31311430300</v>
          </cell>
          <cell r="B4" t="str">
            <v>Penitenciária de Carmo do Parnaíba I</v>
          </cell>
          <cell r="C4"/>
          <cell r="D4"/>
          <cell r="E4"/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>
            <v>2415263.88</v>
          </cell>
        </row>
        <row r="5">
          <cell r="A5" t="str">
            <v>0172EF31311860112</v>
          </cell>
          <cell r="B5" t="str">
            <v>Penitenciária de Contagem I - Nelson Hungria</v>
          </cell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>
            <v>7987990.4199999999</v>
          </cell>
        </row>
        <row r="6">
          <cell r="A6" t="str">
            <v>0173EF31312610910</v>
          </cell>
          <cell r="B6" t="str">
            <v>Penitenciária de Formiga I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>
            <v>3374423.58</v>
          </cell>
        </row>
        <row r="7">
          <cell r="A7" t="str">
            <v>0174EF31312770100</v>
          </cell>
          <cell r="B7" t="str">
            <v>Penitenciária de Governador Valadares I - Francisco Floriano de Paula</v>
          </cell>
          <cell r="C7"/>
          <cell r="D7"/>
          <cell r="E7"/>
          <cell r="F7"/>
          <cell r="G7"/>
          <cell r="H7"/>
          <cell r="I7"/>
          <cell r="J7"/>
          <cell r="K7"/>
          <cell r="L7"/>
          <cell r="M7"/>
          <cell r="N7"/>
          <cell r="O7"/>
          <cell r="P7"/>
          <cell r="Q7"/>
          <cell r="R7">
            <v>4572129.6900000004</v>
          </cell>
        </row>
        <row r="8">
          <cell r="A8" t="str">
            <v>0175EF31313115800</v>
          </cell>
          <cell r="B8" t="str">
            <v>Penitenciária de Ipaba I - Dênio Moreira de Carvalho</v>
          </cell>
          <cell r="C8"/>
          <cell r="D8"/>
          <cell r="E8"/>
          <cell r="F8"/>
          <cell r="G8"/>
          <cell r="H8"/>
          <cell r="I8"/>
          <cell r="J8"/>
          <cell r="K8"/>
          <cell r="L8"/>
          <cell r="M8"/>
          <cell r="N8"/>
          <cell r="O8"/>
          <cell r="P8"/>
          <cell r="Q8"/>
          <cell r="R8">
            <v>4798954.0999999996</v>
          </cell>
        </row>
        <row r="9">
          <cell r="A9" t="str">
            <v>0176EF31313670212</v>
          </cell>
          <cell r="B9" t="str">
            <v>Penitenciária de Juiz de Fora I - José Edson Cavalieri</v>
          </cell>
          <cell r="C9"/>
          <cell r="D9"/>
          <cell r="E9"/>
          <cell r="F9"/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>
            <v>2793043.95</v>
          </cell>
        </row>
        <row r="10">
          <cell r="A10" t="str">
            <v>0177EF31313670202</v>
          </cell>
          <cell r="B10" t="str">
            <v>Penitenciária de Juiz de Fora II</v>
          </cell>
          <cell r="C10"/>
          <cell r="D10"/>
          <cell r="E10"/>
          <cell r="F10"/>
          <cell r="G10"/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>
            <v>4185807.0900000003</v>
          </cell>
        </row>
        <row r="11">
          <cell r="A11" t="str">
            <v>0178EF31314390610</v>
          </cell>
          <cell r="B11" t="str">
            <v>Penitenciária de Muriaé I</v>
          </cell>
          <cell r="C11"/>
          <cell r="D11"/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>
            <v>3431737.68</v>
          </cell>
        </row>
        <row r="12">
          <cell r="A12" t="str">
            <v>0179EF31314710512</v>
          </cell>
          <cell r="B12" t="str">
            <v>Penitenciária de Pará de Minas I - Doutor Pio Soares Canedo</v>
          </cell>
          <cell r="C12"/>
          <cell r="D12"/>
          <cell r="E12"/>
          <cell r="F12"/>
          <cell r="G12"/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>
            <v>3474988.41</v>
          </cell>
        </row>
        <row r="13">
          <cell r="A13" t="str">
            <v>0180EF31314810310</v>
          </cell>
          <cell r="B13" t="str">
            <v>Penitenciária de Patrocínio I</v>
          </cell>
          <cell r="C13"/>
          <cell r="D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>
            <v>4089929.31</v>
          </cell>
        </row>
        <row r="14">
          <cell r="A14" t="str">
            <v>0181EF31315210510</v>
          </cell>
          <cell r="B14" t="str">
            <v>Penitenciária de Ponte Nova I</v>
          </cell>
          <cell r="C14"/>
          <cell r="D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>
            <v>4267870.87</v>
          </cell>
        </row>
        <row r="15">
          <cell r="A15" t="str">
            <v>0182EF31315460612</v>
          </cell>
          <cell r="B15" t="str">
            <v>Penitenciária de Ribeirão das Neves I - José Maria Alkimin</v>
          </cell>
          <cell r="C15"/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>
            <v>5918434.3200000003</v>
          </cell>
        </row>
        <row r="16">
          <cell r="A16" t="str">
            <v>0183EF31316292210</v>
          </cell>
          <cell r="B16" t="str">
            <v>Penitenciária de São Joaquim de Bicas I - Professor Jason Soares de Albergaria</v>
          </cell>
          <cell r="C16"/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>
            <v>2363194.02</v>
          </cell>
        </row>
        <row r="17">
          <cell r="A17" t="str">
            <v>0184EF31312670310</v>
          </cell>
          <cell r="B17" t="str">
            <v>Penitenciária de Segurança Máxima de Francisco Sá I</v>
          </cell>
          <cell r="C17"/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>
            <v>2384924.16</v>
          </cell>
        </row>
        <row r="18">
          <cell r="A18" t="str">
            <v>0185EF31316860600</v>
          </cell>
          <cell r="B18" t="str">
            <v>Penitenciária de Teófilo Otoni I</v>
          </cell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>
            <v>1280211.98</v>
          </cell>
        </row>
        <row r="19">
          <cell r="A19" t="str">
            <v>0186EF31316930702</v>
          </cell>
          <cell r="B19" t="str">
            <v>Penitenciária de Três Corações I</v>
          </cell>
          <cell r="C19"/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>
            <v>4829643.87</v>
          </cell>
        </row>
        <row r="20">
          <cell r="A20" t="str">
            <v>0187EF31317010712</v>
          </cell>
          <cell r="B20" t="str">
            <v>Penitenciária de Uberaba I</v>
          </cell>
          <cell r="C20"/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>
            <v>5307375.84</v>
          </cell>
        </row>
        <row r="21">
          <cell r="A21" t="str">
            <v>0188EF31317020612</v>
          </cell>
          <cell r="B21" t="str">
            <v>Penitenciária de Uberlândia I - Professor João Pimenta Da Veiga</v>
          </cell>
          <cell r="C21"/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>
            <v>2215321.85</v>
          </cell>
        </row>
        <row r="22">
          <cell r="A22" t="str">
            <v>0189EF31317040402</v>
          </cell>
          <cell r="B22" t="str">
            <v>Penitenciária de Unaí I - Agostinho de Oliveira Júnior</v>
          </cell>
          <cell r="C22"/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>
            <v>4035294.91</v>
          </cell>
        </row>
        <row r="23">
          <cell r="A23" t="str">
            <v>0227EF31315460610</v>
          </cell>
          <cell r="B23" t="str">
            <v>Complexo Público Privado de Ribeirão das Neves I</v>
          </cell>
          <cell r="C23"/>
          <cell r="D23"/>
          <cell r="E23"/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>
            <v>225837.61</v>
          </cell>
        </row>
        <row r="24">
          <cell r="A24" t="str">
            <v>0228EF31315460610</v>
          </cell>
          <cell r="B24" t="str">
            <v>Complexo Público Privado de Ribeirão das Neves II</v>
          </cell>
          <cell r="C24"/>
          <cell r="D24"/>
          <cell r="E24"/>
          <cell r="F24"/>
          <cell r="G24"/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>
            <v>0</v>
          </cell>
        </row>
      </sheetData>
      <sheetData sheetId="2">
        <row r="2">
          <cell r="A2" t="str">
            <v>0169MO31310620002</v>
          </cell>
          <cell r="B2" t="str">
            <v>Unidade Gestora de Monitoração Eletrônica de Belo Horizonte I - DOMICILIAR</v>
          </cell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>
            <v>0</v>
          </cell>
        </row>
        <row r="3">
          <cell r="A3" t="str">
            <v>0170EF31310620011</v>
          </cell>
          <cell r="B3" t="str">
            <v>Penitenciária de Belo Horizonte I - Estevão Pinto</v>
          </cell>
          <cell r="C3"/>
          <cell r="D3"/>
          <cell r="E3"/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>
            <v>1729201.55</v>
          </cell>
        </row>
        <row r="4">
          <cell r="A4" t="str">
            <v>0171EF31311430300</v>
          </cell>
          <cell r="B4" t="str">
            <v>Penitenciária de Carmo do Parnaíba I</v>
          </cell>
          <cell r="C4"/>
          <cell r="D4"/>
          <cell r="E4"/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>
            <v>2683840.52</v>
          </cell>
        </row>
        <row r="5">
          <cell r="A5" t="str">
            <v>0172EF31311860112</v>
          </cell>
          <cell r="B5" t="str">
            <v>Penitenciária de Contagem I - Nelson Hungria</v>
          </cell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>
            <v>10698441.970000001</v>
          </cell>
        </row>
        <row r="6">
          <cell r="A6" t="str">
            <v>0173EF31312610910</v>
          </cell>
          <cell r="B6" t="str">
            <v>Penitenciária de Formiga I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>
            <v>3381091.9</v>
          </cell>
        </row>
        <row r="7">
          <cell r="A7" t="str">
            <v>0174EF31312770100</v>
          </cell>
          <cell r="B7" t="str">
            <v>Penitenciária de Governador Valadares I - Francisco Floriano de Paula</v>
          </cell>
          <cell r="C7"/>
          <cell r="D7"/>
          <cell r="E7"/>
          <cell r="F7"/>
          <cell r="G7"/>
          <cell r="H7"/>
          <cell r="I7"/>
          <cell r="J7"/>
          <cell r="K7"/>
          <cell r="L7"/>
          <cell r="M7"/>
          <cell r="N7"/>
          <cell r="O7"/>
          <cell r="P7"/>
          <cell r="Q7"/>
          <cell r="R7">
            <v>4723929.8999999994</v>
          </cell>
        </row>
        <row r="8">
          <cell r="A8" t="str">
            <v>0175EF31313115800</v>
          </cell>
          <cell r="B8" t="str">
            <v>Penitenciária de Ipaba I - Dênio Moreira de Carvalho</v>
          </cell>
          <cell r="C8"/>
          <cell r="D8"/>
          <cell r="E8"/>
          <cell r="F8"/>
          <cell r="G8"/>
          <cell r="H8"/>
          <cell r="I8"/>
          <cell r="J8"/>
          <cell r="K8"/>
          <cell r="L8"/>
          <cell r="M8"/>
          <cell r="N8"/>
          <cell r="O8"/>
          <cell r="P8"/>
          <cell r="Q8"/>
          <cell r="R8">
            <v>5670083.0499999998</v>
          </cell>
        </row>
        <row r="9">
          <cell r="A9" t="str">
            <v>0176EF31313670212</v>
          </cell>
          <cell r="B9" t="str">
            <v>Penitenciária de Juiz de Fora I - José Edson Cavalieri</v>
          </cell>
          <cell r="C9"/>
          <cell r="D9"/>
          <cell r="E9"/>
          <cell r="F9"/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>
            <v>4794557.6899999995</v>
          </cell>
        </row>
        <row r="10">
          <cell r="A10" t="str">
            <v>0177EF31313670202</v>
          </cell>
          <cell r="B10" t="str">
            <v>Penitenciária de Juiz de Fora II</v>
          </cell>
          <cell r="C10"/>
          <cell r="D10"/>
          <cell r="E10"/>
          <cell r="F10"/>
          <cell r="G10"/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>
            <v>4595938.24</v>
          </cell>
        </row>
        <row r="11">
          <cell r="A11" t="str">
            <v>0178EF31314390610</v>
          </cell>
          <cell r="B11" t="str">
            <v>Penitenciária de Muriaé I</v>
          </cell>
          <cell r="C11"/>
          <cell r="D11"/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>
            <v>3874790.13</v>
          </cell>
        </row>
        <row r="12">
          <cell r="A12" t="str">
            <v>0179EF31314710512</v>
          </cell>
          <cell r="B12" t="str">
            <v>Penitenciária de Pará de Minas I - Doutor Pio Soares Canedo</v>
          </cell>
          <cell r="C12"/>
          <cell r="D12"/>
          <cell r="E12"/>
          <cell r="F12"/>
          <cell r="G12"/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>
            <v>3386825.7</v>
          </cell>
        </row>
        <row r="13">
          <cell r="A13" t="str">
            <v>0180EF31314810310</v>
          </cell>
          <cell r="B13" t="str">
            <v>Penitenciária de Patrocínio I</v>
          </cell>
          <cell r="C13"/>
          <cell r="D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>
            <v>4576387.68</v>
          </cell>
        </row>
        <row r="14">
          <cell r="A14" t="str">
            <v>0181EF31315210510</v>
          </cell>
          <cell r="B14" t="str">
            <v>Penitenciária de Ponte Nova I</v>
          </cell>
          <cell r="C14"/>
          <cell r="D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>
            <v>4629588.5</v>
          </cell>
        </row>
        <row r="15">
          <cell r="A15" t="str">
            <v>0182EF31315460612</v>
          </cell>
          <cell r="B15" t="str">
            <v>Penitenciária de Ribeirão das Neves I - José Maria Alkimin</v>
          </cell>
          <cell r="C15"/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>
            <v>9991802.9800000004</v>
          </cell>
        </row>
        <row r="16">
          <cell r="A16" t="str">
            <v>0183EF31316292210</v>
          </cell>
          <cell r="B16" t="str">
            <v>Penitenciária de São Joaquim de Bicas I - Professor Jason Soares de Albergaria</v>
          </cell>
          <cell r="C16"/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>
            <v>2425879.25</v>
          </cell>
        </row>
        <row r="17">
          <cell r="A17" t="str">
            <v>0184EF31312670310</v>
          </cell>
          <cell r="B17" t="str">
            <v>Penitenciária de Segurança Máxima de Francisco Sá I</v>
          </cell>
          <cell r="C17"/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>
            <v>2429303.04</v>
          </cell>
        </row>
        <row r="18">
          <cell r="A18" t="str">
            <v>0185EF31316860600</v>
          </cell>
          <cell r="B18" t="str">
            <v>Penitenciária de Teófilo Otoni I</v>
          </cell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>
            <v>1189651.5299999998</v>
          </cell>
        </row>
        <row r="19">
          <cell r="A19" t="str">
            <v>0186EF31316930702</v>
          </cell>
          <cell r="B19" t="str">
            <v>Penitenciária de Três Corações I</v>
          </cell>
          <cell r="C19"/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>
            <v>5726670.1299999999</v>
          </cell>
        </row>
        <row r="20">
          <cell r="A20" t="str">
            <v>0187EF31317010712</v>
          </cell>
          <cell r="B20" t="str">
            <v>Penitenciária de Uberaba I</v>
          </cell>
          <cell r="C20"/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>
            <v>5782224.0599999996</v>
          </cell>
        </row>
        <row r="21">
          <cell r="A21" t="str">
            <v>0188EF31317020612</v>
          </cell>
          <cell r="B21" t="str">
            <v>Penitenciária de Uberlândia I - Professor João Pimenta Da Veiga</v>
          </cell>
          <cell r="C21"/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>
            <v>1983257.52</v>
          </cell>
        </row>
        <row r="22">
          <cell r="A22" t="str">
            <v>0189EF31317040402</v>
          </cell>
          <cell r="B22" t="str">
            <v>Penitenciária de Unaí I - Agostinho de Oliveira Júnior</v>
          </cell>
          <cell r="C22"/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>
            <v>4511262.88</v>
          </cell>
        </row>
        <row r="23">
          <cell r="A23" t="str">
            <v>0227EF31315460610</v>
          </cell>
          <cell r="B23" t="str">
            <v>Complexo Público Privado de Ribeirão das Neves I</v>
          </cell>
          <cell r="C23"/>
          <cell r="D23"/>
          <cell r="E23"/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>
            <v>331305.45</v>
          </cell>
        </row>
        <row r="24">
          <cell r="A24" t="str">
            <v>0228EF31315460610</v>
          </cell>
          <cell r="B24" t="str">
            <v>Complexo Público Privado de Ribeirão das Neves II</v>
          </cell>
          <cell r="C24"/>
          <cell r="D24"/>
          <cell r="E24"/>
          <cell r="F24"/>
          <cell r="G24"/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9"/>
      <sheetName val="2020"/>
      <sheetName val="2021"/>
    </sheetNames>
    <sheetDataSet>
      <sheetData sheetId="0">
        <row r="2">
          <cell r="A2" t="str">
            <v>0169MO31310620002</v>
          </cell>
          <cell r="B2" t="str">
            <v>Unidade Gestora de Monitoração Eletrônica de Belo Horizonte I - DOMICILIAR</v>
          </cell>
          <cell r="C2"/>
          <cell r="D2"/>
          <cell r="E2"/>
          <cell r="F2"/>
          <cell r="G2"/>
          <cell r="H2"/>
          <cell r="I2"/>
          <cell r="J2"/>
          <cell r="K2"/>
          <cell r="L2"/>
          <cell r="M2">
            <v>0</v>
          </cell>
        </row>
        <row r="3">
          <cell r="A3" t="str">
            <v>0170EF31310620011</v>
          </cell>
          <cell r="B3" t="str">
            <v>Penitenciária de Belo Horizonte I - Estevão Pinto</v>
          </cell>
          <cell r="C3"/>
          <cell r="D3"/>
          <cell r="E3"/>
          <cell r="F3"/>
          <cell r="G3"/>
          <cell r="H3"/>
          <cell r="I3"/>
          <cell r="J3"/>
          <cell r="K3"/>
          <cell r="L3"/>
          <cell r="M3">
            <v>399202.72</v>
          </cell>
        </row>
        <row r="4">
          <cell r="A4" t="str">
            <v>0171EF31311430300</v>
          </cell>
          <cell r="B4" t="str">
            <v>Penitenciária de Carmo do Paranaíba I</v>
          </cell>
          <cell r="C4"/>
          <cell r="D4"/>
          <cell r="E4"/>
          <cell r="F4"/>
          <cell r="G4"/>
          <cell r="H4"/>
          <cell r="I4"/>
          <cell r="J4"/>
          <cell r="K4"/>
          <cell r="L4"/>
          <cell r="M4">
            <v>0</v>
          </cell>
        </row>
        <row r="5">
          <cell r="A5" t="str">
            <v>0172EF31311860112</v>
          </cell>
          <cell r="B5" t="str">
            <v>Penitenciária de Contagem I - Nelson Hungria</v>
          </cell>
          <cell r="C5"/>
          <cell r="D5"/>
          <cell r="E5"/>
          <cell r="F5"/>
          <cell r="G5"/>
          <cell r="H5"/>
          <cell r="I5"/>
          <cell r="J5"/>
          <cell r="K5"/>
          <cell r="L5"/>
          <cell r="M5">
            <v>170457.99</v>
          </cell>
        </row>
        <row r="6">
          <cell r="A6" t="str">
            <v>0173EF31312610910</v>
          </cell>
          <cell r="B6" t="str">
            <v>Penitenciária de Formiga I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  <cell r="M6">
            <v>0</v>
          </cell>
        </row>
        <row r="7">
          <cell r="A7" t="str">
            <v>0174EF31312770100</v>
          </cell>
          <cell r="B7" t="str">
            <v>Penitenciária de Governador Valadares I - Francisco Floriano de Paula</v>
          </cell>
          <cell r="C7"/>
          <cell r="D7"/>
          <cell r="E7"/>
          <cell r="F7"/>
          <cell r="G7"/>
          <cell r="H7"/>
          <cell r="I7"/>
          <cell r="J7"/>
          <cell r="K7"/>
          <cell r="L7"/>
          <cell r="M7">
            <v>7060.2</v>
          </cell>
        </row>
        <row r="8">
          <cell r="A8" t="str">
            <v>0175EF31313115800</v>
          </cell>
          <cell r="B8" t="str">
            <v>Penitenciária de Ipaba I - Dênio Moreira de Carvalho</v>
          </cell>
          <cell r="C8"/>
          <cell r="D8"/>
          <cell r="E8"/>
          <cell r="F8"/>
          <cell r="G8"/>
          <cell r="H8"/>
          <cell r="I8"/>
          <cell r="J8"/>
          <cell r="K8"/>
          <cell r="L8"/>
          <cell r="M8">
            <v>44708.11</v>
          </cell>
        </row>
        <row r="9">
          <cell r="A9" t="str">
            <v>0176EF31313670212</v>
          </cell>
          <cell r="B9" t="str">
            <v>Penitenciária de Juiz de Fora I - José Edson Cavalieri</v>
          </cell>
          <cell r="C9"/>
          <cell r="D9"/>
          <cell r="E9"/>
          <cell r="F9"/>
          <cell r="G9"/>
          <cell r="H9"/>
          <cell r="I9"/>
          <cell r="J9"/>
          <cell r="K9"/>
          <cell r="L9"/>
          <cell r="M9">
            <v>11373757.630000001</v>
          </cell>
        </row>
        <row r="10">
          <cell r="A10" t="str">
            <v>0177EF31313670202</v>
          </cell>
          <cell r="B10" t="str">
            <v>Penitenciária de Juiz de Fora II</v>
          </cell>
          <cell r="C10"/>
          <cell r="D10"/>
          <cell r="E10"/>
          <cell r="F10"/>
          <cell r="G10"/>
          <cell r="H10"/>
          <cell r="I10"/>
          <cell r="J10"/>
          <cell r="K10"/>
          <cell r="L10"/>
          <cell r="M10">
            <v>0</v>
          </cell>
        </row>
        <row r="11">
          <cell r="A11" t="str">
            <v>0178EF31314390610</v>
          </cell>
          <cell r="B11" t="str">
            <v>Penitenciária de Muriaé I</v>
          </cell>
          <cell r="C11"/>
          <cell r="D11"/>
          <cell r="E11"/>
          <cell r="F11"/>
          <cell r="G11"/>
          <cell r="H11"/>
          <cell r="I11"/>
          <cell r="J11"/>
          <cell r="K11"/>
          <cell r="L11"/>
          <cell r="M11">
            <v>0</v>
          </cell>
        </row>
        <row r="12">
          <cell r="A12" t="str">
            <v>0179EF31314710512</v>
          </cell>
          <cell r="B12" t="str">
            <v>Penitenciária de Pará de Minas I - Doutor Pio Soares Canedo</v>
          </cell>
          <cell r="C12"/>
          <cell r="D12"/>
          <cell r="E12"/>
          <cell r="F12"/>
          <cell r="G12"/>
          <cell r="H12"/>
          <cell r="I12"/>
          <cell r="J12"/>
          <cell r="K12"/>
          <cell r="L12"/>
          <cell r="M12">
            <v>0</v>
          </cell>
        </row>
        <row r="13">
          <cell r="A13" t="str">
            <v>0180EF31314810310</v>
          </cell>
          <cell r="B13" t="str">
            <v>Penitenciária de Patrocínio I</v>
          </cell>
          <cell r="C13"/>
          <cell r="D13"/>
          <cell r="E13"/>
          <cell r="F13"/>
          <cell r="G13"/>
          <cell r="H13"/>
          <cell r="I13"/>
          <cell r="J13"/>
          <cell r="K13"/>
          <cell r="L13"/>
          <cell r="M13">
            <v>0</v>
          </cell>
        </row>
        <row r="14">
          <cell r="A14" t="str">
            <v>0181EF31315210510</v>
          </cell>
          <cell r="B14" t="str">
            <v>Penitenciária de Ponte Nova I</v>
          </cell>
          <cell r="C14"/>
          <cell r="D14"/>
          <cell r="E14"/>
          <cell r="F14"/>
          <cell r="G14"/>
          <cell r="H14"/>
          <cell r="I14"/>
          <cell r="J14"/>
          <cell r="K14"/>
          <cell r="L14"/>
          <cell r="M14">
            <v>0</v>
          </cell>
        </row>
        <row r="15">
          <cell r="A15" t="str">
            <v>0182EF31315460612</v>
          </cell>
          <cell r="B15" t="str">
            <v>Penitenciária de Ribeirão das Neves I - José Maria Alkimin</v>
          </cell>
          <cell r="C15"/>
          <cell r="D15"/>
          <cell r="E15"/>
          <cell r="F15"/>
          <cell r="G15"/>
          <cell r="H15"/>
          <cell r="I15"/>
          <cell r="J15"/>
          <cell r="K15"/>
          <cell r="L15"/>
          <cell r="M15">
            <v>0</v>
          </cell>
        </row>
        <row r="16">
          <cell r="A16" t="str">
            <v>0183EF31316292210</v>
          </cell>
          <cell r="B16" t="str">
            <v>Penitenciária de São Joaquim de Bicas I - Professor Jason Soares de Albergaria</v>
          </cell>
          <cell r="C16"/>
          <cell r="D16"/>
          <cell r="E16"/>
          <cell r="F16"/>
          <cell r="G16"/>
          <cell r="H16"/>
          <cell r="I16"/>
          <cell r="J16"/>
          <cell r="K16"/>
          <cell r="L16"/>
          <cell r="M16">
            <v>0</v>
          </cell>
        </row>
        <row r="17">
          <cell r="A17" t="str">
            <v>0184EF31312670310</v>
          </cell>
          <cell r="B17" t="str">
            <v>Penitenciária de Segurança Máxima de Francisco Sá I</v>
          </cell>
          <cell r="C17"/>
          <cell r="D17"/>
          <cell r="E17"/>
          <cell r="F17"/>
          <cell r="G17"/>
          <cell r="H17"/>
          <cell r="I17"/>
          <cell r="J17"/>
          <cell r="K17"/>
          <cell r="L17"/>
          <cell r="M17">
            <v>0</v>
          </cell>
        </row>
        <row r="18">
          <cell r="A18" t="str">
            <v>0185EF31316860600</v>
          </cell>
          <cell r="B18" t="str">
            <v>Penitenciária de Teófilo Otoni I</v>
          </cell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>
            <v>0</v>
          </cell>
        </row>
        <row r="19">
          <cell r="A19" t="str">
            <v>0186EF31316930702</v>
          </cell>
          <cell r="B19" t="str">
            <v>Penitenciária de Três Corações I</v>
          </cell>
          <cell r="C19"/>
          <cell r="D19"/>
          <cell r="E19"/>
          <cell r="F19"/>
          <cell r="G19"/>
          <cell r="H19"/>
          <cell r="I19"/>
          <cell r="J19"/>
          <cell r="K19"/>
          <cell r="L19"/>
          <cell r="M19">
            <v>0</v>
          </cell>
        </row>
        <row r="20">
          <cell r="A20" t="str">
            <v>0187EF31317010712</v>
          </cell>
          <cell r="B20" t="str">
            <v>Penitenciária de Uberaba I</v>
          </cell>
          <cell r="C20"/>
          <cell r="D20"/>
          <cell r="E20"/>
          <cell r="F20"/>
          <cell r="G20"/>
          <cell r="H20"/>
          <cell r="I20"/>
          <cell r="J20"/>
          <cell r="K20"/>
          <cell r="L20"/>
          <cell r="M20">
            <v>0</v>
          </cell>
        </row>
        <row r="21">
          <cell r="A21" t="str">
            <v>0188EF31317020612</v>
          </cell>
          <cell r="B21" t="str">
            <v>Penitenciária de Uberlândia I - Professor João Pimenta Da Veiga</v>
          </cell>
          <cell r="C21"/>
          <cell r="D21"/>
          <cell r="E21"/>
          <cell r="F21"/>
          <cell r="G21"/>
          <cell r="H21"/>
          <cell r="I21"/>
          <cell r="J21"/>
          <cell r="K21"/>
          <cell r="L21"/>
          <cell r="M21">
            <v>0</v>
          </cell>
        </row>
        <row r="22">
          <cell r="A22" t="str">
            <v>0189EF31317040402</v>
          </cell>
          <cell r="B22" t="str">
            <v>Penitenciária de Unaí I - Agostinho de Oliveira Júnior</v>
          </cell>
          <cell r="C22"/>
          <cell r="D22"/>
          <cell r="E22"/>
          <cell r="F22"/>
          <cell r="G22"/>
          <cell r="H22"/>
          <cell r="I22"/>
          <cell r="J22"/>
          <cell r="K22"/>
          <cell r="L22"/>
          <cell r="M22">
            <v>42524.43</v>
          </cell>
        </row>
        <row r="23">
          <cell r="A23" t="str">
            <v>0227EF31315460610</v>
          </cell>
          <cell r="B23" t="str">
            <v>Complexo Público Privado de Ribeirão das Neves I</v>
          </cell>
          <cell r="C23"/>
          <cell r="D23"/>
          <cell r="E23"/>
          <cell r="F23"/>
          <cell r="G23"/>
          <cell r="H23"/>
          <cell r="I23"/>
          <cell r="J23"/>
          <cell r="K23"/>
          <cell r="L23"/>
          <cell r="M23">
            <v>0</v>
          </cell>
        </row>
        <row r="24">
          <cell r="A24" t="str">
            <v>0228EF31315460610</v>
          </cell>
          <cell r="B24" t="str">
            <v>Complexo Público Privado de Ribeirão das Neves II</v>
          </cell>
          <cell r="C24"/>
          <cell r="D24"/>
          <cell r="E24"/>
          <cell r="F24"/>
          <cell r="G24"/>
          <cell r="H24"/>
          <cell r="I24"/>
          <cell r="J24"/>
          <cell r="K24"/>
          <cell r="L24"/>
          <cell r="M24">
            <v>0</v>
          </cell>
        </row>
      </sheetData>
      <sheetData sheetId="1">
        <row r="2">
          <cell r="A2" t="str">
            <v>0169MO31310620002</v>
          </cell>
          <cell r="B2" t="str">
            <v>Unidade Gestora de Monitoração Eletrônica de Belo Horizonte I - DOMICILIAR</v>
          </cell>
          <cell r="C2"/>
          <cell r="D2"/>
          <cell r="E2"/>
          <cell r="F2"/>
          <cell r="G2"/>
          <cell r="H2"/>
          <cell r="I2"/>
          <cell r="J2"/>
          <cell r="K2"/>
          <cell r="L2"/>
          <cell r="M2">
            <v>17401.55</v>
          </cell>
        </row>
        <row r="3">
          <cell r="A3" t="str">
            <v>0170EF31310620011</v>
          </cell>
          <cell r="B3" t="str">
            <v>Penitenciária de Belo Horizonte I - Estevão Pinto</v>
          </cell>
          <cell r="C3"/>
          <cell r="D3"/>
          <cell r="E3"/>
          <cell r="F3"/>
          <cell r="G3"/>
          <cell r="H3"/>
          <cell r="I3"/>
          <cell r="J3"/>
          <cell r="K3"/>
          <cell r="L3"/>
          <cell r="M3">
            <v>0</v>
          </cell>
        </row>
        <row r="4">
          <cell r="A4" t="str">
            <v>0171EF31311430300</v>
          </cell>
          <cell r="B4" t="str">
            <v>Penitenciária de Carmo do Paranaíba I</v>
          </cell>
          <cell r="C4"/>
          <cell r="D4"/>
          <cell r="E4"/>
          <cell r="F4"/>
          <cell r="G4"/>
          <cell r="H4"/>
          <cell r="I4"/>
          <cell r="J4"/>
          <cell r="K4"/>
          <cell r="L4"/>
          <cell r="M4">
            <v>0</v>
          </cell>
        </row>
        <row r="5">
          <cell r="A5" t="str">
            <v>0172EF31311860112</v>
          </cell>
          <cell r="B5" t="str">
            <v>Penitenciária de Contagem I - Nelson Hungria</v>
          </cell>
          <cell r="C5"/>
          <cell r="D5"/>
          <cell r="E5"/>
          <cell r="F5"/>
          <cell r="G5"/>
          <cell r="H5"/>
          <cell r="I5"/>
          <cell r="J5"/>
          <cell r="K5"/>
          <cell r="L5"/>
          <cell r="M5">
            <v>276281.09000000003</v>
          </cell>
        </row>
        <row r="6">
          <cell r="A6" t="str">
            <v>0173EF31312610910</v>
          </cell>
          <cell r="B6" t="str">
            <v>Penitenciária de Formiga I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  <cell r="M6">
            <v>0</v>
          </cell>
        </row>
        <row r="7">
          <cell r="A7" t="str">
            <v>0174EF31312770100</v>
          </cell>
          <cell r="B7" t="str">
            <v>Penitenciária de Governador Valadares I - Francisco Floriano de Paula</v>
          </cell>
          <cell r="C7"/>
          <cell r="D7"/>
          <cell r="E7"/>
          <cell r="F7"/>
          <cell r="G7"/>
          <cell r="H7"/>
          <cell r="I7"/>
          <cell r="J7"/>
          <cell r="K7"/>
          <cell r="L7"/>
          <cell r="M7">
            <v>498907.53</v>
          </cell>
        </row>
        <row r="8">
          <cell r="A8" t="str">
            <v>0175EF31313115800</v>
          </cell>
          <cell r="B8" t="str">
            <v>Penitenciária de Ipaba I - Dênio Moreira de Carvalho</v>
          </cell>
          <cell r="C8"/>
          <cell r="D8"/>
          <cell r="E8"/>
          <cell r="F8"/>
          <cell r="G8"/>
          <cell r="H8"/>
          <cell r="I8"/>
          <cell r="J8"/>
          <cell r="K8"/>
          <cell r="L8"/>
          <cell r="M8">
            <v>0</v>
          </cell>
        </row>
        <row r="9">
          <cell r="A9" t="str">
            <v>0176EF31313670212</v>
          </cell>
          <cell r="B9" t="str">
            <v>Penitenciária de Juiz de Fora I - José Edson Cavalieri</v>
          </cell>
          <cell r="C9"/>
          <cell r="D9"/>
          <cell r="E9"/>
          <cell r="F9"/>
          <cell r="G9"/>
          <cell r="H9"/>
          <cell r="I9"/>
          <cell r="J9"/>
          <cell r="K9"/>
          <cell r="L9"/>
          <cell r="M9">
            <v>0</v>
          </cell>
        </row>
        <row r="10">
          <cell r="A10" t="str">
            <v>0177EF31313670202</v>
          </cell>
          <cell r="B10" t="str">
            <v>Penitenciária de Juiz de Fora II</v>
          </cell>
          <cell r="C10"/>
          <cell r="D10"/>
          <cell r="E10"/>
          <cell r="F10"/>
          <cell r="G10"/>
          <cell r="H10"/>
          <cell r="I10"/>
          <cell r="J10"/>
          <cell r="K10"/>
          <cell r="L10"/>
          <cell r="M10">
            <v>0</v>
          </cell>
        </row>
        <row r="11">
          <cell r="A11" t="str">
            <v>0178EF31314390610</v>
          </cell>
          <cell r="B11" t="str">
            <v>Penitenciária de Muriaé I</v>
          </cell>
          <cell r="C11"/>
          <cell r="D11"/>
          <cell r="E11"/>
          <cell r="F11"/>
          <cell r="G11"/>
          <cell r="H11"/>
          <cell r="I11"/>
          <cell r="J11"/>
          <cell r="K11"/>
          <cell r="L11"/>
          <cell r="M11">
            <v>0</v>
          </cell>
        </row>
        <row r="12">
          <cell r="A12" t="str">
            <v>0179EF31314710512</v>
          </cell>
          <cell r="B12" t="str">
            <v>Penitenciária de Pará de Minas I - Doutor Pio Soares Canedo</v>
          </cell>
          <cell r="C12"/>
          <cell r="D12"/>
          <cell r="E12"/>
          <cell r="F12"/>
          <cell r="G12"/>
          <cell r="H12"/>
          <cell r="I12"/>
          <cell r="J12"/>
          <cell r="K12"/>
          <cell r="L12"/>
          <cell r="M12">
            <v>0</v>
          </cell>
        </row>
        <row r="13">
          <cell r="A13" t="str">
            <v>0180EF31314810310</v>
          </cell>
          <cell r="B13" t="str">
            <v>Penitenciária de Patrocínio I</v>
          </cell>
          <cell r="C13"/>
          <cell r="D13"/>
          <cell r="E13"/>
          <cell r="F13"/>
          <cell r="G13"/>
          <cell r="H13"/>
          <cell r="I13"/>
          <cell r="J13"/>
          <cell r="K13"/>
          <cell r="L13"/>
          <cell r="M13">
            <v>0</v>
          </cell>
        </row>
        <row r="14">
          <cell r="A14" t="str">
            <v>0181EF31315210510</v>
          </cell>
          <cell r="B14" t="str">
            <v>Penitenciária de Ponte Nova I</v>
          </cell>
          <cell r="C14"/>
          <cell r="D14"/>
          <cell r="E14"/>
          <cell r="F14"/>
          <cell r="G14"/>
          <cell r="H14"/>
          <cell r="I14"/>
          <cell r="J14"/>
          <cell r="K14"/>
          <cell r="L14"/>
          <cell r="M14">
            <v>0</v>
          </cell>
        </row>
        <row r="15">
          <cell r="A15" t="str">
            <v>0182EF31315460612</v>
          </cell>
          <cell r="B15" t="str">
            <v>Penitenciária de Ribeirão das Neves I - José Maria Alkimin</v>
          </cell>
          <cell r="C15"/>
          <cell r="D15"/>
          <cell r="E15"/>
          <cell r="F15"/>
          <cell r="G15"/>
          <cell r="H15"/>
          <cell r="I15"/>
          <cell r="J15"/>
          <cell r="K15"/>
          <cell r="L15"/>
          <cell r="M15">
            <v>0</v>
          </cell>
        </row>
        <row r="16">
          <cell r="A16" t="str">
            <v>0183EF31316292210</v>
          </cell>
          <cell r="B16" t="str">
            <v>Penitenciária de São Joaquim de Bicas I - Professor Jason Soares de Albergaria</v>
          </cell>
          <cell r="C16"/>
          <cell r="D16"/>
          <cell r="E16"/>
          <cell r="F16"/>
          <cell r="G16"/>
          <cell r="H16"/>
          <cell r="I16"/>
          <cell r="J16"/>
          <cell r="K16"/>
          <cell r="L16"/>
          <cell r="M16">
            <v>799601.99</v>
          </cell>
        </row>
        <row r="17">
          <cell r="A17" t="str">
            <v>0184EF31312670310</v>
          </cell>
          <cell r="B17" t="str">
            <v>Penitenciária de Segurança Máxima de Francisco Sá I</v>
          </cell>
          <cell r="C17"/>
          <cell r="D17"/>
          <cell r="E17"/>
          <cell r="F17"/>
          <cell r="G17"/>
          <cell r="H17"/>
          <cell r="I17"/>
          <cell r="J17"/>
          <cell r="K17"/>
          <cell r="L17"/>
          <cell r="M17">
            <v>0</v>
          </cell>
        </row>
        <row r="18">
          <cell r="A18" t="str">
            <v>0185EF31316860600</v>
          </cell>
          <cell r="B18" t="str">
            <v>Penitenciária de Teófilo Otoni I</v>
          </cell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>
            <v>0</v>
          </cell>
        </row>
        <row r="19">
          <cell r="A19" t="str">
            <v>0186EF31316930702</v>
          </cell>
          <cell r="B19" t="str">
            <v>Penitenciária de Três Corações I</v>
          </cell>
          <cell r="C19"/>
          <cell r="D19"/>
          <cell r="E19"/>
          <cell r="F19"/>
          <cell r="G19"/>
          <cell r="H19"/>
          <cell r="I19"/>
          <cell r="J19"/>
          <cell r="K19"/>
          <cell r="L19"/>
          <cell r="M19">
            <v>0</v>
          </cell>
        </row>
        <row r="20">
          <cell r="A20" t="str">
            <v>0187EF31317010712</v>
          </cell>
          <cell r="B20" t="str">
            <v>Penitenciária de Uberaba I</v>
          </cell>
          <cell r="C20"/>
          <cell r="D20"/>
          <cell r="E20"/>
          <cell r="F20"/>
          <cell r="G20"/>
          <cell r="H20"/>
          <cell r="I20"/>
          <cell r="J20"/>
          <cell r="K20"/>
          <cell r="L20"/>
          <cell r="M20">
            <v>0</v>
          </cell>
        </row>
        <row r="21">
          <cell r="A21" t="str">
            <v>0188EF31317020612</v>
          </cell>
          <cell r="B21" t="str">
            <v>Penitenciária de Uberlândia I - Professor João Pimenta Da Veiga</v>
          </cell>
          <cell r="C21"/>
          <cell r="D21"/>
          <cell r="E21"/>
          <cell r="F21"/>
          <cell r="G21"/>
          <cell r="H21"/>
          <cell r="I21"/>
          <cell r="J21"/>
          <cell r="K21"/>
          <cell r="L21"/>
          <cell r="M21">
            <v>0</v>
          </cell>
        </row>
        <row r="22">
          <cell r="A22" t="str">
            <v>0189EF31317040402</v>
          </cell>
          <cell r="B22" t="str">
            <v>Penitenciária de Unaí I - Agostinho de Oliveira Júnior</v>
          </cell>
          <cell r="C22"/>
          <cell r="D22"/>
          <cell r="E22"/>
          <cell r="F22"/>
          <cell r="G22"/>
          <cell r="H22"/>
          <cell r="I22"/>
          <cell r="J22"/>
          <cell r="K22"/>
          <cell r="L22"/>
          <cell r="M22">
            <v>0</v>
          </cell>
        </row>
        <row r="23">
          <cell r="A23" t="str">
            <v>0227EF31315460610</v>
          </cell>
          <cell r="B23" t="str">
            <v>Complexo Público Privado de Ribeirão das Neves I</v>
          </cell>
          <cell r="C23"/>
          <cell r="D23"/>
          <cell r="E23"/>
          <cell r="F23"/>
          <cell r="G23"/>
          <cell r="H23"/>
          <cell r="I23"/>
          <cell r="J23"/>
          <cell r="K23"/>
          <cell r="L23"/>
          <cell r="M23">
            <v>0</v>
          </cell>
        </row>
        <row r="24">
          <cell r="A24" t="str">
            <v>0228EF31315460610</v>
          </cell>
          <cell r="B24" t="str">
            <v>Complexo Público Privado de Ribeirão das Neves II</v>
          </cell>
          <cell r="C24"/>
          <cell r="D24"/>
          <cell r="E24"/>
          <cell r="F24"/>
          <cell r="G24"/>
          <cell r="H24"/>
          <cell r="I24"/>
          <cell r="J24"/>
          <cell r="K24"/>
          <cell r="L24"/>
          <cell r="M24">
            <v>0</v>
          </cell>
        </row>
      </sheetData>
      <sheetData sheetId="2">
        <row r="2">
          <cell r="A2" t="str">
            <v>0169MO31310620002</v>
          </cell>
          <cell r="B2" t="str">
            <v>Unidade Gestora de Monitoração Eletrônica de Belo Horizonte I - DOMICILIAR</v>
          </cell>
          <cell r="C2"/>
          <cell r="D2"/>
          <cell r="E2"/>
          <cell r="F2"/>
          <cell r="G2"/>
          <cell r="H2"/>
          <cell r="I2"/>
          <cell r="J2"/>
          <cell r="K2"/>
          <cell r="L2"/>
          <cell r="M2">
            <v>0</v>
          </cell>
        </row>
        <row r="3">
          <cell r="A3" t="str">
            <v>0170EF31310620011</v>
          </cell>
          <cell r="B3" t="str">
            <v>Penitenciária de Belo Horizonte I - Estevão Pinto</v>
          </cell>
          <cell r="C3"/>
          <cell r="D3"/>
          <cell r="E3"/>
          <cell r="F3"/>
          <cell r="G3"/>
          <cell r="H3"/>
          <cell r="I3"/>
          <cell r="J3"/>
          <cell r="K3"/>
          <cell r="L3"/>
          <cell r="M3">
            <v>265958.18</v>
          </cell>
        </row>
        <row r="4">
          <cell r="A4" t="str">
            <v>0171EF31311430300</v>
          </cell>
          <cell r="B4" t="str">
            <v>Penitenciária de Carmo do Paranaíba I</v>
          </cell>
          <cell r="C4"/>
          <cell r="D4"/>
          <cell r="E4"/>
          <cell r="F4"/>
          <cell r="G4"/>
          <cell r="H4"/>
          <cell r="I4"/>
          <cell r="J4"/>
          <cell r="K4"/>
          <cell r="L4"/>
          <cell r="M4">
            <v>0</v>
          </cell>
        </row>
        <row r="5">
          <cell r="A5" t="str">
            <v>0172EF31311860112</v>
          </cell>
          <cell r="B5" t="str">
            <v>Penitenciária de Contagem I - Nelson Hungria</v>
          </cell>
          <cell r="C5"/>
          <cell r="D5"/>
          <cell r="E5"/>
          <cell r="F5"/>
          <cell r="G5"/>
          <cell r="H5"/>
          <cell r="I5"/>
          <cell r="J5"/>
          <cell r="K5"/>
          <cell r="L5"/>
          <cell r="M5">
            <v>248954.94</v>
          </cell>
        </row>
        <row r="6">
          <cell r="A6" t="str">
            <v>0173EF31312610910</v>
          </cell>
          <cell r="B6" t="str">
            <v>Penitenciária de Formiga I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  <cell r="M6">
            <v>0</v>
          </cell>
        </row>
        <row r="7">
          <cell r="A7" t="str">
            <v>0174EF31312770100</v>
          </cell>
          <cell r="B7" t="str">
            <v>Penitenciária de Governador Valadares I - Francisco Floriano de Paula</v>
          </cell>
          <cell r="C7"/>
          <cell r="D7"/>
          <cell r="E7"/>
          <cell r="F7"/>
          <cell r="G7"/>
          <cell r="H7"/>
          <cell r="I7"/>
          <cell r="J7"/>
          <cell r="K7"/>
          <cell r="L7"/>
          <cell r="M7">
            <v>0</v>
          </cell>
        </row>
        <row r="8">
          <cell r="A8" t="str">
            <v>0175EF31313115800</v>
          </cell>
          <cell r="B8" t="str">
            <v>Penitenciária de Ipaba I - Dênio Moreira de Carvalho</v>
          </cell>
          <cell r="C8"/>
          <cell r="D8"/>
          <cell r="E8"/>
          <cell r="F8"/>
          <cell r="G8"/>
          <cell r="H8"/>
          <cell r="I8"/>
          <cell r="J8"/>
          <cell r="K8"/>
          <cell r="L8"/>
          <cell r="M8">
            <v>0</v>
          </cell>
        </row>
        <row r="9">
          <cell r="A9" t="str">
            <v>0176EF31313670212</v>
          </cell>
          <cell r="B9" t="str">
            <v>Penitenciária de Juiz de Fora I - José Edson Cavalieri</v>
          </cell>
          <cell r="C9"/>
          <cell r="D9"/>
          <cell r="E9"/>
          <cell r="F9"/>
          <cell r="G9"/>
          <cell r="H9"/>
          <cell r="I9"/>
          <cell r="J9"/>
          <cell r="K9"/>
          <cell r="L9"/>
          <cell r="M9">
            <v>0</v>
          </cell>
        </row>
        <row r="10">
          <cell r="A10" t="str">
            <v>0177EF31313670202</v>
          </cell>
          <cell r="B10" t="str">
            <v>Penitenciária de Juiz de Fora II</v>
          </cell>
          <cell r="C10"/>
          <cell r="D10"/>
          <cell r="E10"/>
          <cell r="F10"/>
          <cell r="G10"/>
          <cell r="H10"/>
          <cell r="I10"/>
          <cell r="J10"/>
          <cell r="K10"/>
          <cell r="L10"/>
          <cell r="M10">
            <v>0</v>
          </cell>
        </row>
        <row r="11">
          <cell r="A11" t="str">
            <v>0178EF31314390610</v>
          </cell>
          <cell r="B11" t="str">
            <v>Penitenciária de Muriaé I</v>
          </cell>
          <cell r="C11"/>
          <cell r="D11"/>
          <cell r="E11"/>
          <cell r="F11"/>
          <cell r="G11"/>
          <cell r="H11"/>
          <cell r="I11"/>
          <cell r="J11"/>
          <cell r="K11"/>
          <cell r="L11"/>
          <cell r="M11">
            <v>0</v>
          </cell>
        </row>
        <row r="12">
          <cell r="A12" t="str">
            <v>0179EF31314710512</v>
          </cell>
          <cell r="B12" t="str">
            <v>Penitenciária de Pará de Minas I - Doutor Pio Soares Canedo</v>
          </cell>
          <cell r="C12"/>
          <cell r="D12"/>
          <cell r="E12"/>
          <cell r="F12"/>
          <cell r="G12"/>
          <cell r="H12"/>
          <cell r="I12"/>
          <cell r="J12"/>
          <cell r="K12"/>
          <cell r="L12"/>
          <cell r="M12">
            <v>0</v>
          </cell>
        </row>
        <row r="13">
          <cell r="A13" t="str">
            <v>0180EF31314810310</v>
          </cell>
          <cell r="B13" t="str">
            <v>Penitenciária de Patrocínio I</v>
          </cell>
          <cell r="C13"/>
          <cell r="D13"/>
          <cell r="E13"/>
          <cell r="F13"/>
          <cell r="G13"/>
          <cell r="H13"/>
          <cell r="I13"/>
          <cell r="J13"/>
          <cell r="K13"/>
          <cell r="L13"/>
          <cell r="M13">
            <v>0</v>
          </cell>
        </row>
        <row r="14">
          <cell r="A14" t="str">
            <v>0181EF31315210510</v>
          </cell>
          <cell r="B14" t="str">
            <v>Penitenciária de Ponte Nova I</v>
          </cell>
          <cell r="C14"/>
          <cell r="D14"/>
          <cell r="E14"/>
          <cell r="F14"/>
          <cell r="G14"/>
          <cell r="H14"/>
          <cell r="I14"/>
          <cell r="J14"/>
          <cell r="K14"/>
          <cell r="L14"/>
          <cell r="M14">
            <v>0</v>
          </cell>
        </row>
        <row r="15">
          <cell r="A15" t="str">
            <v>0182EF31315460612</v>
          </cell>
          <cell r="B15" t="str">
            <v>Penitenciária de Ribeirão das Neves I - José Maria Alkimin</v>
          </cell>
          <cell r="C15"/>
          <cell r="D15"/>
          <cell r="E15"/>
          <cell r="F15"/>
          <cell r="G15"/>
          <cell r="H15"/>
          <cell r="I15"/>
          <cell r="J15"/>
          <cell r="K15"/>
          <cell r="L15"/>
          <cell r="M15">
            <v>1371769.75</v>
          </cell>
        </row>
        <row r="16">
          <cell r="A16" t="str">
            <v>0183EF31316292210</v>
          </cell>
          <cell r="B16" t="str">
            <v>Penitenciária de São Joaquim de Bicas I - Professor Jason Soares de Albergaria</v>
          </cell>
          <cell r="C16"/>
          <cell r="D16"/>
          <cell r="E16"/>
          <cell r="F16"/>
          <cell r="G16"/>
          <cell r="H16"/>
          <cell r="I16"/>
          <cell r="J16"/>
          <cell r="K16"/>
          <cell r="L16"/>
          <cell r="M16">
            <v>390000</v>
          </cell>
        </row>
        <row r="17">
          <cell r="A17" t="str">
            <v>0184EF31312670310</v>
          </cell>
          <cell r="B17" t="str">
            <v>Penitenciária de Segurança Máxima de Francisco Sá I</v>
          </cell>
          <cell r="C17"/>
          <cell r="D17"/>
          <cell r="E17"/>
          <cell r="F17"/>
          <cell r="G17"/>
          <cell r="H17"/>
          <cell r="I17"/>
          <cell r="J17"/>
          <cell r="K17"/>
          <cell r="L17"/>
          <cell r="M17">
            <v>0</v>
          </cell>
        </row>
        <row r="18">
          <cell r="A18" t="str">
            <v>0185EF31316860600</v>
          </cell>
          <cell r="B18" t="str">
            <v>Penitenciária de Teófilo Otoni I</v>
          </cell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>
            <v>0</v>
          </cell>
        </row>
        <row r="19">
          <cell r="A19" t="str">
            <v>0186EF31316930702</v>
          </cell>
          <cell r="B19" t="str">
            <v>Penitenciária de Três Corações I</v>
          </cell>
          <cell r="C19"/>
          <cell r="D19"/>
          <cell r="E19"/>
          <cell r="F19"/>
          <cell r="G19"/>
          <cell r="H19"/>
          <cell r="I19"/>
          <cell r="J19"/>
          <cell r="K19"/>
          <cell r="L19"/>
          <cell r="M19">
            <v>0</v>
          </cell>
        </row>
        <row r="20">
          <cell r="A20" t="str">
            <v>0187EF31317010712</v>
          </cell>
          <cell r="B20" t="str">
            <v>Penitenciária de Uberaba I</v>
          </cell>
          <cell r="C20"/>
          <cell r="D20"/>
          <cell r="E20"/>
          <cell r="F20"/>
          <cell r="G20"/>
          <cell r="H20"/>
          <cell r="I20"/>
          <cell r="J20"/>
          <cell r="K20"/>
          <cell r="L20"/>
          <cell r="M20">
            <v>0</v>
          </cell>
        </row>
        <row r="21">
          <cell r="A21" t="str">
            <v>0188EF31317020612</v>
          </cell>
          <cell r="B21" t="str">
            <v>Penitenciária de Uberlândia I - Professor João Pimenta Da Veiga</v>
          </cell>
          <cell r="C21"/>
          <cell r="D21"/>
          <cell r="E21"/>
          <cell r="F21"/>
          <cell r="G21"/>
          <cell r="H21"/>
          <cell r="I21"/>
          <cell r="J21"/>
          <cell r="K21"/>
          <cell r="L21"/>
          <cell r="M21">
            <v>0</v>
          </cell>
        </row>
        <row r="22">
          <cell r="A22" t="str">
            <v>0189EF31317040402</v>
          </cell>
          <cell r="B22" t="str">
            <v>Penitenciária de Unaí I - Agostinho de Oliveira Júnior</v>
          </cell>
          <cell r="C22"/>
          <cell r="D22"/>
          <cell r="E22"/>
          <cell r="F22"/>
          <cell r="G22"/>
          <cell r="H22"/>
          <cell r="I22"/>
          <cell r="J22"/>
          <cell r="K22"/>
          <cell r="L22"/>
          <cell r="M22">
            <v>0</v>
          </cell>
        </row>
        <row r="23">
          <cell r="A23" t="str">
            <v>0227EF31315460610</v>
          </cell>
          <cell r="B23" t="str">
            <v>Complexo Público Privado de Ribeirão das Neves I</v>
          </cell>
          <cell r="C23"/>
          <cell r="D23"/>
          <cell r="E23"/>
          <cell r="F23"/>
          <cell r="G23"/>
          <cell r="H23"/>
          <cell r="I23"/>
          <cell r="J23"/>
          <cell r="K23"/>
          <cell r="L23"/>
          <cell r="M23">
            <v>0</v>
          </cell>
        </row>
        <row r="24">
          <cell r="A24" t="str">
            <v>0228EF31315460610</v>
          </cell>
          <cell r="B24" t="str">
            <v>Complexo Público Privado de Ribeirão das Neves II</v>
          </cell>
          <cell r="C24"/>
          <cell r="D24"/>
          <cell r="E24"/>
          <cell r="F24"/>
          <cell r="G24"/>
          <cell r="H24"/>
          <cell r="I24"/>
          <cell r="J24"/>
          <cell r="K24"/>
          <cell r="L24"/>
          <cell r="M24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9"/>
      <sheetName val="2020"/>
      <sheetName val="2021"/>
    </sheetNames>
    <sheetDataSet>
      <sheetData sheetId="0">
        <row r="1">
          <cell r="B1" t="str">
            <v>Estabelecimento</v>
          </cell>
        </row>
        <row r="2">
          <cell r="A2" t="str">
            <v>0227EF31315460610</v>
          </cell>
          <cell r="B2" t="str">
            <v>Complexo Público Privado de Ribeirão das Neves I</v>
          </cell>
          <cell r="C2">
            <v>0</v>
          </cell>
          <cell r="D2">
            <v>0</v>
          </cell>
          <cell r="E2">
            <v>31326.92</v>
          </cell>
        </row>
        <row r="3">
          <cell r="A3" t="str">
            <v>0228EF31315460610</v>
          </cell>
          <cell r="B3" t="str">
            <v>Complexo Público Privado de Ribeirão das Neves II</v>
          </cell>
          <cell r="C3">
            <v>0</v>
          </cell>
          <cell r="D3">
            <v>0</v>
          </cell>
          <cell r="E3"/>
        </row>
        <row r="4">
          <cell r="A4" t="str">
            <v>0170EF31310620011</v>
          </cell>
          <cell r="B4" t="str">
            <v>Penitenciária de Belo Horizonte I - Estevão Pinto</v>
          </cell>
          <cell r="C4">
            <v>0</v>
          </cell>
          <cell r="D4">
            <v>1453967.04</v>
          </cell>
          <cell r="E4">
            <v>11100.690000000002</v>
          </cell>
        </row>
        <row r="5">
          <cell r="A5" t="str">
            <v>0171EF31311430300</v>
          </cell>
          <cell r="B5" t="str">
            <v>Penitenciária de Carmo do Parnaíba I</v>
          </cell>
          <cell r="C5">
            <v>0</v>
          </cell>
          <cell r="D5">
            <v>0</v>
          </cell>
          <cell r="E5">
            <v>2362.98</v>
          </cell>
        </row>
        <row r="6">
          <cell r="A6" t="str">
            <v>0172EF31311860112</v>
          </cell>
          <cell r="B6" t="str">
            <v>Penitenciária de Contagem I - Nelson Hungria</v>
          </cell>
          <cell r="C6">
            <v>0</v>
          </cell>
          <cell r="D6">
            <v>8817631.540000001</v>
          </cell>
          <cell r="E6">
            <v>279735.06</v>
          </cell>
        </row>
        <row r="7">
          <cell r="A7" t="str">
            <v>0173EF31312610910</v>
          </cell>
          <cell r="B7" t="str">
            <v>Penitenciária de Formiga I</v>
          </cell>
          <cell r="C7">
            <v>0</v>
          </cell>
          <cell r="D7">
            <v>227101.03000000003</v>
          </cell>
          <cell r="E7">
            <v>8535.7499999999945</v>
          </cell>
        </row>
        <row r="8">
          <cell r="A8" t="str">
            <v>0174EF31312770100</v>
          </cell>
          <cell r="B8" t="str">
            <v>Penitenciária de Governador Valadares I - Francisco Floriano de Paula</v>
          </cell>
          <cell r="C8">
            <v>0</v>
          </cell>
          <cell r="D8">
            <v>442567.66</v>
          </cell>
          <cell r="E8">
            <v>26442.399999999998</v>
          </cell>
        </row>
        <row r="9">
          <cell r="A9" t="str">
            <v>0175EF31313115800</v>
          </cell>
          <cell r="B9" t="str">
            <v>Penitenciária de Ipaba I - Dênio Moreira de Carvalho</v>
          </cell>
          <cell r="C9">
            <v>0</v>
          </cell>
          <cell r="D9">
            <v>1867433.05</v>
          </cell>
          <cell r="E9">
            <v>285600</v>
          </cell>
        </row>
        <row r="10">
          <cell r="A10" t="str">
            <v>0176EF31313670212</v>
          </cell>
          <cell r="B10" t="str">
            <v>Penitenciária de Juiz de Fora I - José Edson Cavalieri</v>
          </cell>
          <cell r="C10">
            <v>0</v>
          </cell>
          <cell r="D10">
            <v>1039808.75</v>
          </cell>
          <cell r="E10">
            <v>4194.88</v>
          </cell>
        </row>
        <row r="11">
          <cell r="A11" t="str">
            <v>0177EF31313670202</v>
          </cell>
          <cell r="B11" t="str">
            <v>Penitenciária de Juiz de Fora II - Ariosvaldo</v>
          </cell>
          <cell r="C11">
            <v>0</v>
          </cell>
          <cell r="D11">
            <v>4586334.17</v>
          </cell>
          <cell r="E11">
            <v>2463.89</v>
          </cell>
        </row>
        <row r="12">
          <cell r="A12" t="str">
            <v>0178EF31314390610</v>
          </cell>
          <cell r="B12" t="str">
            <v>Penitenciária de Muriaé I - doutor martins</v>
          </cell>
          <cell r="C12">
            <v>0</v>
          </cell>
          <cell r="D12">
            <v>435542.5</v>
          </cell>
          <cell r="E12">
            <v>10447.129999999997</v>
          </cell>
        </row>
        <row r="13">
          <cell r="A13" t="str">
            <v>0179EF31314710512</v>
          </cell>
          <cell r="B13" t="str">
            <v>Penitenciária de Pará de Minas I - Doutor Pio Soares Canedo</v>
          </cell>
          <cell r="C13">
            <v>0</v>
          </cell>
          <cell r="D13">
            <v>4056531.19</v>
          </cell>
          <cell r="E13">
            <v>97544.43</v>
          </cell>
        </row>
        <row r="14">
          <cell r="A14" t="str">
            <v>0180EF31314810310</v>
          </cell>
          <cell r="B14" t="str">
            <v>Penitenciária de Patrocínio I - dep. Expedito</v>
          </cell>
          <cell r="C14">
            <v>0</v>
          </cell>
          <cell r="D14">
            <v>3339175.59</v>
          </cell>
          <cell r="E14">
            <v>76671.199999999997</v>
          </cell>
        </row>
        <row r="15">
          <cell r="A15" t="str">
            <v>0181EF31315210510</v>
          </cell>
          <cell r="B15" t="str">
            <v>Penitenciária de Ponte Nova I - complexo penit</v>
          </cell>
          <cell r="C15">
            <v>0</v>
          </cell>
          <cell r="D15">
            <v>3332319.97</v>
          </cell>
          <cell r="E15">
            <v>316241.2</v>
          </cell>
        </row>
        <row r="16">
          <cell r="A16" t="str">
            <v>0182EF31315460612</v>
          </cell>
          <cell r="B16" t="str">
            <v>Penitenciária de Ribeirão das Neves I - José Maria Alkimin</v>
          </cell>
          <cell r="C16">
            <v>0</v>
          </cell>
          <cell r="D16">
            <v>5706307.6299999999</v>
          </cell>
          <cell r="E16">
            <v>211114.64</v>
          </cell>
        </row>
        <row r="17">
          <cell r="A17" t="str">
            <v>0183EF31316292210</v>
          </cell>
          <cell r="B17" t="str">
            <v>Penitenciária de São Joaquim de Bicas I - Professor Jason Soares de Albergaria</v>
          </cell>
          <cell r="C17">
            <v>0</v>
          </cell>
          <cell r="D17">
            <v>1119580.3</v>
          </cell>
          <cell r="E17">
            <v>201878.35</v>
          </cell>
        </row>
        <row r="18">
          <cell r="A18" t="str">
            <v>0184EF31312670310</v>
          </cell>
          <cell r="B18" t="str">
            <v>Penitenciária de Segurança Máxima de Francisco Sá I</v>
          </cell>
          <cell r="C18">
            <v>0</v>
          </cell>
          <cell r="D18">
            <v>200513.97</v>
          </cell>
          <cell r="E18">
            <v>9689.1799999999985</v>
          </cell>
        </row>
        <row r="19">
          <cell r="A19" t="str">
            <v>0185EF31316860600</v>
          </cell>
          <cell r="B19" t="str">
            <v>Penitenciária de Teófilo Otoni I</v>
          </cell>
          <cell r="C19">
            <v>0</v>
          </cell>
          <cell r="D19">
            <v>198192.59999999998</v>
          </cell>
          <cell r="E19">
            <v>849888.65</v>
          </cell>
        </row>
        <row r="20">
          <cell r="A20" t="str">
            <v>0186EF31316930702</v>
          </cell>
          <cell r="B20" t="str">
            <v>Penitenciária de Três Corações I</v>
          </cell>
          <cell r="C20">
            <v>0</v>
          </cell>
          <cell r="D20">
            <v>1544361.1300000001</v>
          </cell>
          <cell r="E20">
            <v>305915.42</v>
          </cell>
        </row>
        <row r="21">
          <cell r="A21" t="str">
            <v>0187EF31317010712</v>
          </cell>
          <cell r="B21" t="str">
            <v xml:space="preserve">Penitenciária de Uberaba I - PROFESSOR ALUIZIO IGNÁCIO DE OLIVEIRA </v>
          </cell>
          <cell r="C21">
            <v>0</v>
          </cell>
          <cell r="D21">
            <v>3488204.8200000003</v>
          </cell>
          <cell r="E21">
            <v>11792.550000000001</v>
          </cell>
        </row>
        <row r="22">
          <cell r="A22" t="str">
            <v>0188EF31317020612</v>
          </cell>
          <cell r="B22" t="str">
            <v>Penitenciária de Uberlândia I - Professor João Pimenta Da Veiga</v>
          </cell>
          <cell r="C22">
            <v>0</v>
          </cell>
          <cell r="D22">
            <v>848066.82000000007</v>
          </cell>
          <cell r="E22">
            <v>219175.71</v>
          </cell>
        </row>
        <row r="23">
          <cell r="A23" t="str">
            <v>0189EF31317040402</v>
          </cell>
          <cell r="B23" t="str">
            <v>Penitenciária de Unaí I - Agostinho de Oliveira Júnior</v>
          </cell>
          <cell r="C23">
            <v>0</v>
          </cell>
          <cell r="D23">
            <v>333026.55</v>
          </cell>
          <cell r="E23">
            <v>343902.92</v>
          </cell>
        </row>
        <row r="24">
          <cell r="A24" t="str">
            <v>0169MO31310620002</v>
          </cell>
          <cell r="B24" t="str">
            <v>Unidade Gestora de Monitoração Eletrônica de Belo Horizonte I - DOMICILIAR</v>
          </cell>
          <cell r="C24">
            <v>0</v>
          </cell>
          <cell r="D24">
            <v>0</v>
          </cell>
          <cell r="E24">
            <v>2731.34</v>
          </cell>
        </row>
      </sheetData>
      <sheetData sheetId="1">
        <row r="2">
          <cell r="A2" t="str">
            <v>0227EF31315460610</v>
          </cell>
          <cell r="B2" t="str">
            <v>Complexo Público Privado de Ribeirão das Neves I</v>
          </cell>
          <cell r="C2">
            <v>0</v>
          </cell>
          <cell r="D2">
            <v>0</v>
          </cell>
          <cell r="E2">
            <v>0</v>
          </cell>
          <cell r="F2">
            <v>95412.490000000093</v>
          </cell>
        </row>
        <row r="3">
          <cell r="A3" t="str">
            <v>0228EF31315460610</v>
          </cell>
          <cell r="B3" t="str">
            <v>Complexo Público Privado de Ribeirão das Neves II</v>
          </cell>
          <cell r="C3">
            <v>0</v>
          </cell>
          <cell r="D3">
            <v>0</v>
          </cell>
          <cell r="E3">
            <v>0</v>
          </cell>
          <cell r="F3"/>
        </row>
        <row r="4">
          <cell r="A4" t="str">
            <v>0170EF31310620011</v>
          </cell>
          <cell r="B4" t="str">
            <v>Penitenciária de Belo Horizonte I - Estevão Pinto</v>
          </cell>
          <cell r="C4">
            <v>25563.37</v>
          </cell>
          <cell r="D4"/>
          <cell r="E4">
            <v>1142648.94</v>
          </cell>
          <cell r="F4">
            <v>19598.879999999997</v>
          </cell>
        </row>
        <row r="5">
          <cell r="A5" t="str">
            <v>0171EF31311430300</v>
          </cell>
          <cell r="B5" t="str">
            <v>Penitenciária de Carmo do Parnaíba I</v>
          </cell>
          <cell r="C5">
            <v>0</v>
          </cell>
          <cell r="D5">
            <v>0</v>
          </cell>
          <cell r="E5">
            <v>0</v>
          </cell>
          <cell r="F5">
            <v>54362.96</v>
          </cell>
        </row>
        <row r="6">
          <cell r="A6" t="str">
            <v>0172EF31311860112</v>
          </cell>
          <cell r="B6" t="str">
            <v>Penitenciária de Contagem I - Nelson Hungria</v>
          </cell>
          <cell r="C6">
            <v>16816.39</v>
          </cell>
          <cell r="D6"/>
          <cell r="E6">
            <v>7476270.9899999984</v>
          </cell>
          <cell r="F6">
            <v>503970.85</v>
          </cell>
        </row>
        <row r="7">
          <cell r="A7" t="str">
            <v>0173EF31312610910</v>
          </cell>
          <cell r="B7" t="str">
            <v>Penitenciária de Formiga I</v>
          </cell>
          <cell r="C7">
            <v>204.31</v>
          </cell>
          <cell r="D7"/>
          <cell r="E7">
            <v>300161.62999999995</v>
          </cell>
          <cell r="F7">
            <v>91154.99</v>
          </cell>
        </row>
        <row r="8">
          <cell r="A8" t="str">
            <v>0174EF31312770100</v>
          </cell>
          <cell r="B8" t="str">
            <v>Penitenciária de Governador Valadares I - Francisco Floriano de Paula</v>
          </cell>
          <cell r="C8">
            <v>12726.53</v>
          </cell>
          <cell r="D8"/>
          <cell r="E8">
            <v>571383.23</v>
          </cell>
          <cell r="F8">
            <v>1475680.01</v>
          </cell>
        </row>
        <row r="9">
          <cell r="A9" t="str">
            <v>0175EF31313115800</v>
          </cell>
          <cell r="B9" t="str">
            <v>Penitenciária de Ipaba I - Dênio Moreira de Carvalho</v>
          </cell>
          <cell r="C9">
            <v>1826.53</v>
          </cell>
          <cell r="D9"/>
          <cell r="E9">
            <v>1540714.32</v>
          </cell>
          <cell r="F9">
            <v>452256.59</v>
          </cell>
        </row>
        <row r="10">
          <cell r="A10" t="str">
            <v>0176EF31313670212</v>
          </cell>
          <cell r="B10" t="str">
            <v>Penitenciária de Juiz de Fora I - José Edson Cavalieri</v>
          </cell>
          <cell r="C10"/>
          <cell r="D10"/>
          <cell r="E10">
            <v>881807.92000000016</v>
          </cell>
          <cell r="F10">
            <v>14041.679999999997</v>
          </cell>
        </row>
        <row r="11">
          <cell r="A11" t="str">
            <v>0177EF31313670202</v>
          </cell>
          <cell r="B11" t="str">
            <v>Penitenciária de Juiz de Fora II</v>
          </cell>
          <cell r="C11">
            <v>2023.4</v>
          </cell>
          <cell r="D11">
            <v>0</v>
          </cell>
          <cell r="E11">
            <v>4222283.16</v>
          </cell>
          <cell r="F11">
            <v>5970.35</v>
          </cell>
        </row>
        <row r="12">
          <cell r="A12" t="str">
            <v>0178EF31314390610</v>
          </cell>
          <cell r="B12" t="str">
            <v>Penitenciária de Muriaé I</v>
          </cell>
          <cell r="C12">
            <v>580.47</v>
          </cell>
          <cell r="D12">
            <v>0</v>
          </cell>
          <cell r="E12">
            <v>553010.06999999995</v>
          </cell>
          <cell r="F12">
            <v>27694.27</v>
          </cell>
        </row>
        <row r="13">
          <cell r="A13" t="str">
            <v>0179EF31314710512</v>
          </cell>
          <cell r="B13" t="str">
            <v>Penitenciária de Pará de Minas I - Doutor Pio Soares Canedo</v>
          </cell>
          <cell r="C13">
            <v>204.31</v>
          </cell>
          <cell r="D13">
            <v>0</v>
          </cell>
          <cell r="E13">
            <v>2198592.67</v>
          </cell>
          <cell r="F13">
            <v>193513.52</v>
          </cell>
        </row>
        <row r="14">
          <cell r="A14" t="str">
            <v>0180EF31314810310</v>
          </cell>
          <cell r="B14" t="str">
            <v>Penitenciária de Patrocínio I</v>
          </cell>
          <cell r="C14">
            <v>6018.72</v>
          </cell>
          <cell r="D14">
            <v>0</v>
          </cell>
          <cell r="E14">
            <v>1714046.2</v>
          </cell>
          <cell r="F14">
            <v>88516.69</v>
          </cell>
        </row>
        <row r="15">
          <cell r="A15" t="str">
            <v>0181EF31315210510</v>
          </cell>
          <cell r="B15" t="str">
            <v>Penitenciária de Ponte Nova I</v>
          </cell>
          <cell r="C15">
            <v>1661.04</v>
          </cell>
          <cell r="D15">
            <v>0</v>
          </cell>
          <cell r="E15">
            <v>1342676.0699999998</v>
          </cell>
          <cell r="F15">
            <v>364507.35</v>
          </cell>
        </row>
        <row r="16">
          <cell r="A16" t="str">
            <v>0182EF31315460612</v>
          </cell>
          <cell r="B16" t="str">
            <v>Penitenciária de Ribeirão das Neves I - José Maria Alkimin</v>
          </cell>
          <cell r="C16">
            <v>80260.72</v>
          </cell>
          <cell r="D16">
            <v>0</v>
          </cell>
          <cell r="E16">
            <v>5498694.2700000005</v>
          </cell>
          <cell r="F16">
            <v>244023.4</v>
          </cell>
        </row>
        <row r="17">
          <cell r="A17" t="str">
            <v>0183EF31316292210</v>
          </cell>
          <cell r="B17" t="str">
            <v>Penitenciária de São Joaquim de Bicas I - Professor Jason Soares de Albergaria</v>
          </cell>
          <cell r="C17">
            <v>4154.24</v>
          </cell>
          <cell r="D17">
            <v>0</v>
          </cell>
          <cell r="E17">
            <v>1144458.95</v>
          </cell>
          <cell r="F17">
            <v>317838.94</v>
          </cell>
        </row>
        <row r="18">
          <cell r="A18" t="str">
            <v>0184EF31312670310</v>
          </cell>
          <cell r="B18" t="str">
            <v>Penitenciária de Segurança Máxima de Francisco Sá I</v>
          </cell>
          <cell r="C18">
            <v>163.44999999999999</v>
          </cell>
          <cell r="D18">
            <v>0</v>
          </cell>
          <cell r="E18">
            <v>250085.82</v>
          </cell>
          <cell r="F18">
            <v>504636.37</v>
          </cell>
        </row>
        <row r="19">
          <cell r="A19" t="str">
            <v>0185EF31316860600</v>
          </cell>
          <cell r="B19" t="str">
            <v>Penitenciária de Teófilo Otoni I</v>
          </cell>
          <cell r="C19">
            <v>19764.71</v>
          </cell>
          <cell r="D19">
            <v>0</v>
          </cell>
          <cell r="E19">
            <v>177697.97999999998</v>
          </cell>
          <cell r="F19">
            <v>563017</v>
          </cell>
        </row>
        <row r="20">
          <cell r="A20" t="str">
            <v>0186EF31316930702</v>
          </cell>
          <cell r="B20" t="str">
            <v>Penitenciária de Três Corações I</v>
          </cell>
          <cell r="C20">
            <v>204.31</v>
          </cell>
          <cell r="D20">
            <v>0</v>
          </cell>
          <cell r="E20">
            <v>353694.7</v>
          </cell>
          <cell r="F20">
            <v>413653.04</v>
          </cell>
        </row>
        <row r="21">
          <cell r="A21" t="str">
            <v>0187EF31317010712</v>
          </cell>
          <cell r="B21" t="str">
            <v>Penitenciária de Uberaba I</v>
          </cell>
          <cell r="C21">
            <v>9028.82</v>
          </cell>
          <cell r="D21">
            <v>0</v>
          </cell>
          <cell r="E21">
            <v>2083483.0999999999</v>
          </cell>
          <cell r="F21">
            <v>86074.94</v>
          </cell>
        </row>
        <row r="22">
          <cell r="A22" t="str">
            <v>0188EF31317020612</v>
          </cell>
          <cell r="B22" t="str">
            <v>Penitenciária de Uberlândia I - Professor João Pimenta Da Veiga</v>
          </cell>
          <cell r="C22">
            <v>9062.9599999999991</v>
          </cell>
          <cell r="D22">
            <v>0</v>
          </cell>
          <cell r="E22">
            <v>546855.04999999993</v>
          </cell>
          <cell r="F22">
            <v>299266.78000000003</v>
          </cell>
        </row>
        <row r="23">
          <cell r="A23" t="str">
            <v>0189EF31317040402</v>
          </cell>
          <cell r="B23" t="str">
            <v>Penitenciária de Unaí I - Agostinho de Oliveira Júnior</v>
          </cell>
          <cell r="C23">
            <v>10534.49</v>
          </cell>
          <cell r="D23">
            <v>0</v>
          </cell>
          <cell r="E23">
            <v>390688.04</v>
          </cell>
          <cell r="F23">
            <v>497456.12</v>
          </cell>
        </row>
        <row r="24">
          <cell r="A24" t="str">
            <v>0169MO31310620002</v>
          </cell>
          <cell r="B24" t="str">
            <v>Unidade Gestora de Monitoração Eletrônica de Belo Horizonte I - DOMICILIAR</v>
          </cell>
          <cell r="C24"/>
          <cell r="D24">
            <v>0</v>
          </cell>
          <cell r="E24">
            <v>0</v>
          </cell>
          <cell r="F24">
            <v>2227.8199999999997</v>
          </cell>
        </row>
      </sheetData>
      <sheetData sheetId="2">
        <row r="2">
          <cell r="A2" t="str">
            <v>0227EF31315460610</v>
          </cell>
          <cell r="B2" t="str">
            <v>Complexo Público Privado de Ribeirão das Neves I</v>
          </cell>
          <cell r="C2" t="str">
            <v>-</v>
          </cell>
          <cell r="D2" t="str">
            <v>-</v>
          </cell>
          <cell r="E2" t="str">
            <v>-</v>
          </cell>
          <cell r="F2">
            <v>92679.830000000016</v>
          </cell>
        </row>
        <row r="3">
          <cell r="A3" t="str">
            <v>0228EF31315460610</v>
          </cell>
          <cell r="B3" t="str">
            <v>Complexo Público Privado de Ribeirão das Neves II</v>
          </cell>
          <cell r="C3" t="str">
            <v>-</v>
          </cell>
          <cell r="D3" t="str">
            <v>-</v>
          </cell>
          <cell r="E3" t="str">
            <v>-</v>
          </cell>
          <cell r="F3"/>
        </row>
        <row r="4">
          <cell r="A4" t="str">
            <v>0170EF31310620011</v>
          </cell>
          <cell r="B4" t="str">
            <v>Penitenciária de Belo Horizonte I - Estevão Pinto</v>
          </cell>
          <cell r="C4" t="str">
            <v>-</v>
          </cell>
          <cell r="D4" t="str">
            <v>-</v>
          </cell>
          <cell r="E4">
            <v>1195458.5</v>
          </cell>
          <cell r="F4">
            <v>30706.46</v>
          </cell>
        </row>
        <row r="5">
          <cell r="A5" t="str">
            <v>0171EF31311430300</v>
          </cell>
          <cell r="B5" t="str">
            <v>Penitenciária de Carmo do Parnaíba I</v>
          </cell>
          <cell r="C5" t="str">
            <v>-</v>
          </cell>
          <cell r="D5" t="str">
            <v>-</v>
          </cell>
          <cell r="E5" t="str">
            <v>-</v>
          </cell>
          <cell r="F5">
            <v>50245.41</v>
          </cell>
        </row>
        <row r="6">
          <cell r="A6" t="str">
            <v>0172EF31311860112</v>
          </cell>
          <cell r="B6" t="str">
            <v>Penitenciária de Contagem I - Nelson Hungria</v>
          </cell>
          <cell r="C6" t="str">
            <v>-</v>
          </cell>
          <cell r="D6" t="str">
            <v>-</v>
          </cell>
          <cell r="E6">
            <v>7280267.6799999997</v>
          </cell>
          <cell r="F6">
            <v>480358.08</v>
          </cell>
        </row>
        <row r="7">
          <cell r="A7" t="str">
            <v>0173EF31312610910</v>
          </cell>
          <cell r="B7" t="str">
            <v>Penitenciária de Formiga I</v>
          </cell>
          <cell r="C7" t="str">
            <v>-</v>
          </cell>
          <cell r="D7" t="str">
            <v>-</v>
          </cell>
          <cell r="E7">
            <v>190722.24</v>
          </cell>
          <cell r="F7">
            <v>76315.460000000006</v>
          </cell>
        </row>
        <row r="8">
          <cell r="A8" t="str">
            <v>0174EF31312770100</v>
          </cell>
          <cell r="B8" t="str">
            <v>Penitenciária de Governador Valadares I - Francisco Floriano de Paula</v>
          </cell>
          <cell r="C8" t="str">
            <v>-</v>
          </cell>
          <cell r="D8" t="str">
            <v>-</v>
          </cell>
          <cell r="E8">
            <v>515667.34</v>
          </cell>
          <cell r="F8">
            <v>1158145.18</v>
          </cell>
        </row>
        <row r="9">
          <cell r="A9" t="str">
            <v>0175EF31313115800</v>
          </cell>
          <cell r="B9" t="str">
            <v>Penitenciária de Ipaba I - Dênio Moreira de Carvalho</v>
          </cell>
          <cell r="C9" t="str">
            <v>-</v>
          </cell>
          <cell r="D9" t="str">
            <v>-</v>
          </cell>
          <cell r="E9">
            <v>1487858.05</v>
          </cell>
          <cell r="F9">
            <v>458083.53</v>
          </cell>
        </row>
        <row r="10">
          <cell r="A10" t="str">
            <v>0176EF31313670212</v>
          </cell>
          <cell r="B10" t="str">
            <v>Penitenciária de Juiz de Fora I - José Edson Cavalieri</v>
          </cell>
          <cell r="C10" t="str">
            <v>-</v>
          </cell>
          <cell r="D10" t="str">
            <v>-</v>
          </cell>
          <cell r="E10" t="str">
            <v>-</v>
          </cell>
          <cell r="F10">
            <v>8169.88</v>
          </cell>
        </row>
        <row r="11">
          <cell r="A11" t="str">
            <v>0177EF31313670202</v>
          </cell>
          <cell r="B11" t="str">
            <v>Penitenciária de Juiz de Fora II - Ariosvaldo</v>
          </cell>
          <cell r="C11" t="str">
            <v>-</v>
          </cell>
          <cell r="D11" t="str">
            <v>-</v>
          </cell>
          <cell r="E11">
            <v>1608041.96</v>
          </cell>
          <cell r="F11">
            <v>27245.98</v>
          </cell>
        </row>
        <row r="12">
          <cell r="A12" t="str">
            <v>0178EF31314390610</v>
          </cell>
          <cell r="B12" t="str">
            <v>Penitenciária de Muriaé I - doutor martins</v>
          </cell>
          <cell r="C12" t="str">
            <v>-</v>
          </cell>
          <cell r="D12" t="str">
            <v>-</v>
          </cell>
          <cell r="E12">
            <v>545467.05000000005</v>
          </cell>
          <cell r="F12">
            <v>559772.91</v>
          </cell>
        </row>
        <row r="13">
          <cell r="A13" t="str">
            <v>0179EF31314710512</v>
          </cell>
          <cell r="B13" t="str">
            <v>Penitenciária de Pará de Minas I - Doutor Pio Soares Canedo</v>
          </cell>
          <cell r="C13" t="str">
            <v>-</v>
          </cell>
          <cell r="D13" t="str">
            <v>-</v>
          </cell>
          <cell r="E13">
            <v>2410668.9700000002</v>
          </cell>
          <cell r="F13">
            <v>218100.93</v>
          </cell>
        </row>
        <row r="14">
          <cell r="A14" t="str">
            <v>0180EF31314810310</v>
          </cell>
          <cell r="B14" t="str">
            <v>Penitenciária de Patrocínio I - dep. Expedito</v>
          </cell>
          <cell r="C14" t="str">
            <v>-</v>
          </cell>
          <cell r="D14" t="str">
            <v>-</v>
          </cell>
          <cell r="E14">
            <v>1473140.97</v>
          </cell>
          <cell r="F14">
            <v>134381.26999999999</v>
          </cell>
        </row>
        <row r="15">
          <cell r="A15" t="str">
            <v>0181EF31315210510</v>
          </cell>
          <cell r="B15" t="str">
            <v>Penitenciária de Ponte Nova I - complexo penit</v>
          </cell>
          <cell r="C15" t="str">
            <v>-</v>
          </cell>
          <cell r="D15" t="str">
            <v>-</v>
          </cell>
          <cell r="E15">
            <v>1301560.03</v>
          </cell>
          <cell r="F15">
            <v>458199.71</v>
          </cell>
        </row>
        <row r="16">
          <cell r="A16" t="str">
            <v>0182EF31315460612</v>
          </cell>
          <cell r="B16" t="str">
            <v>Penitenciária de Ribeirão das Neves I - José Maria Alkimin</v>
          </cell>
          <cell r="C16" t="str">
            <v>-</v>
          </cell>
          <cell r="D16" t="str">
            <v>-</v>
          </cell>
          <cell r="E16">
            <v>6008707.0099999998</v>
          </cell>
          <cell r="F16">
            <v>311672.73</v>
          </cell>
        </row>
        <row r="17">
          <cell r="A17" t="str">
            <v>0183EF31316292210</v>
          </cell>
          <cell r="B17" t="str">
            <v>Penitenciária de São Joaquim de Bicas I - Professor Jason Soares de Albergaria</v>
          </cell>
          <cell r="C17" t="str">
            <v>-</v>
          </cell>
          <cell r="D17" t="str">
            <v>-</v>
          </cell>
          <cell r="E17">
            <v>988610.21</v>
          </cell>
          <cell r="F17">
            <v>299852.83</v>
          </cell>
        </row>
        <row r="18">
          <cell r="A18" t="str">
            <v>0184EF31312670310</v>
          </cell>
          <cell r="B18" t="str">
            <v>Penitenciária de Segurança Máxima de Francisco Sá I</v>
          </cell>
          <cell r="C18" t="str">
            <v>-</v>
          </cell>
          <cell r="D18" t="str">
            <v>-</v>
          </cell>
          <cell r="E18">
            <v>211328.21</v>
          </cell>
          <cell r="F18">
            <v>622805.23</v>
          </cell>
        </row>
        <row r="19">
          <cell r="A19" t="str">
            <v>0185EF31316860600</v>
          </cell>
          <cell r="B19" t="str">
            <v>Penitenciária de Teófilo Otoni I</v>
          </cell>
          <cell r="C19" t="str">
            <v>-</v>
          </cell>
          <cell r="D19" t="str">
            <v>-</v>
          </cell>
          <cell r="E19">
            <v>103546.76</v>
          </cell>
          <cell r="F19">
            <v>600135.13</v>
          </cell>
        </row>
        <row r="20">
          <cell r="A20" t="str">
            <v>0186EF31316930702</v>
          </cell>
          <cell r="B20" t="str">
            <v>Penitenciária de Três Corações I</v>
          </cell>
          <cell r="C20" t="str">
            <v>-</v>
          </cell>
          <cell r="D20" t="str">
            <v>-</v>
          </cell>
          <cell r="E20">
            <v>1650777.61</v>
          </cell>
          <cell r="F20">
            <v>470604.31</v>
          </cell>
        </row>
        <row r="21">
          <cell r="A21" t="str">
            <v>0187EF31317010712</v>
          </cell>
          <cell r="B21" t="str">
            <v xml:space="preserve">Penitenciária de Uberaba I - PROFESSOR ALUIZIO IGNÁCIO DE OLIVEIRA </v>
          </cell>
          <cell r="C21" t="str">
            <v>-</v>
          </cell>
          <cell r="D21" t="str">
            <v>-</v>
          </cell>
          <cell r="E21">
            <v>2006147.15</v>
          </cell>
          <cell r="F21">
            <v>118670.92</v>
          </cell>
        </row>
        <row r="22">
          <cell r="A22" t="str">
            <v>0188EF31317020612</v>
          </cell>
          <cell r="B22" t="str">
            <v>Penitenciária de Uberlândia I - Professor João Pimenta Da Veiga</v>
          </cell>
          <cell r="C22" t="str">
            <v>-</v>
          </cell>
          <cell r="D22" t="str">
            <v>-</v>
          </cell>
          <cell r="E22">
            <v>366358.86</v>
          </cell>
          <cell r="F22">
            <v>302324.89</v>
          </cell>
        </row>
        <row r="23">
          <cell r="A23" t="str">
            <v>0189EF31317040402</v>
          </cell>
          <cell r="B23" t="str">
            <v>Penitenciária de Unaí I - Agostinho de Oliveira Júnior</v>
          </cell>
          <cell r="C23" t="str">
            <v>-</v>
          </cell>
          <cell r="D23" t="str">
            <v>-</v>
          </cell>
          <cell r="E23">
            <v>237774.83</v>
          </cell>
          <cell r="F23">
            <v>458451.77</v>
          </cell>
        </row>
        <row r="24">
          <cell r="A24" t="str">
            <v>0169MO31310620002</v>
          </cell>
          <cell r="B24" t="str">
            <v>Unidade Gestora de Monitoração Eletrônica de Belo Horizonte I - DOMICILIAR</v>
          </cell>
          <cell r="C24" t="str">
            <v>-</v>
          </cell>
          <cell r="D24">
            <v>270248.88</v>
          </cell>
          <cell r="E24" t="str">
            <v>-</v>
          </cell>
          <cell r="F24">
            <v>8419.869999999999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9"/>
      <sheetName val="2020"/>
      <sheetName val="2021"/>
    </sheetNames>
    <sheetDataSet>
      <sheetData sheetId="0">
        <row r="2">
          <cell r="A2" t="str">
            <v>0169MO31310620002</v>
          </cell>
          <cell r="B2" t="str">
            <v>Unidade Gestora de Monitoração Eletrônica de Belo Horizonte I - DOMICILIAR</v>
          </cell>
          <cell r="C2" t="str">
            <v xml:space="preserve"> R$ -   </v>
          </cell>
        </row>
        <row r="3">
          <cell r="A3" t="str">
            <v>0170EF31310620011</v>
          </cell>
          <cell r="B3" t="str">
            <v>Penitenciária de Belo Horizonte I - Estevão Pinto</v>
          </cell>
          <cell r="C3">
            <v>2000</v>
          </cell>
        </row>
        <row r="4">
          <cell r="A4" t="str">
            <v>0171EF31311430300</v>
          </cell>
          <cell r="B4" t="str">
            <v>Penitenciária de Carmo do Parnaíba I</v>
          </cell>
          <cell r="C4">
            <v>2000</v>
          </cell>
        </row>
        <row r="5">
          <cell r="A5" t="str">
            <v>0172EF31311860112</v>
          </cell>
          <cell r="B5" t="str">
            <v>Penitenciária de Contagem I - Nelson Hungria</v>
          </cell>
          <cell r="C5">
            <v>15000</v>
          </cell>
        </row>
        <row r="6">
          <cell r="A6" t="str">
            <v>0173EF31312610910</v>
          </cell>
          <cell r="B6" t="str">
            <v>Penitenciária de Formiga I</v>
          </cell>
          <cell r="C6">
            <v>2000</v>
          </cell>
        </row>
        <row r="7">
          <cell r="A7" t="str">
            <v>0174EF31312770100</v>
          </cell>
          <cell r="B7" t="str">
            <v>Penitenciária de Governador Valadares I - Francisco Floriano de Paula</v>
          </cell>
          <cell r="C7">
            <v>3000</v>
          </cell>
        </row>
        <row r="8">
          <cell r="A8" t="str">
            <v>0175EF31313115800</v>
          </cell>
          <cell r="B8" t="str">
            <v>Penitenciária de Ipaba I - Dênio Moreira de Carvalho</v>
          </cell>
          <cell r="C8">
            <v>12000</v>
          </cell>
        </row>
        <row r="9">
          <cell r="A9" t="str">
            <v>0176EF31313670212</v>
          </cell>
          <cell r="B9" t="str">
            <v>Penitenciária de Juiz de Fora I - José Edson Cavalieri</v>
          </cell>
          <cell r="C9">
            <v>3000</v>
          </cell>
        </row>
        <row r="10">
          <cell r="A10" t="str">
            <v>0177EF31313670202</v>
          </cell>
          <cell r="B10" t="str">
            <v>Penitenciária de Juiz de Fora II</v>
          </cell>
          <cell r="C10">
            <v>6000</v>
          </cell>
        </row>
        <row r="11">
          <cell r="A11" t="str">
            <v>0178EF31314390610</v>
          </cell>
          <cell r="B11" t="str">
            <v>Penitenciária de Muriaé I</v>
          </cell>
          <cell r="C11">
            <v>15000</v>
          </cell>
        </row>
        <row r="12">
          <cell r="A12" t="str">
            <v>0179EF31314710512</v>
          </cell>
          <cell r="B12" t="str">
            <v>Penitenciária de Pará de Minas I - Doutor Pio Soares Canedo</v>
          </cell>
          <cell r="C12" t="str">
            <v xml:space="preserve"> R$ -   </v>
          </cell>
        </row>
        <row r="13">
          <cell r="A13" t="str">
            <v>0180EF31314810310</v>
          </cell>
          <cell r="B13" t="str">
            <v>Penitenciária de Patrocínio I</v>
          </cell>
          <cell r="C13">
            <v>1000</v>
          </cell>
        </row>
        <row r="14">
          <cell r="A14" t="str">
            <v>0181EF31315210510</v>
          </cell>
          <cell r="B14" t="str">
            <v>Penitenciária de Ponte Nova I</v>
          </cell>
          <cell r="C14">
            <v>9000</v>
          </cell>
        </row>
        <row r="15">
          <cell r="A15" t="str">
            <v>0182EF31315460612</v>
          </cell>
          <cell r="B15" t="str">
            <v>Penitenciária de Ribeirão das Neves I - José Maria Alkimin</v>
          </cell>
          <cell r="C15">
            <v>3000</v>
          </cell>
        </row>
        <row r="16">
          <cell r="A16" t="str">
            <v>0183EF31316292210</v>
          </cell>
          <cell r="B16" t="str">
            <v>Penitenciária de São Joaquim de Bicas I - Professor Jason Soares de Albergaria</v>
          </cell>
          <cell r="C16">
            <v>6000</v>
          </cell>
        </row>
        <row r="17">
          <cell r="A17" t="str">
            <v>0184EF31312670310</v>
          </cell>
          <cell r="B17" t="str">
            <v>Penitenciária de Segurança Máxima de Francisco Sá I</v>
          </cell>
          <cell r="C17" t="str">
            <v xml:space="preserve"> R$ -   </v>
          </cell>
        </row>
        <row r="18">
          <cell r="A18" t="str">
            <v>0185EF31316860600</v>
          </cell>
          <cell r="B18" t="str">
            <v>Penitenciária de Teófilo Otoni I</v>
          </cell>
          <cell r="C18">
            <v>12000</v>
          </cell>
        </row>
        <row r="19">
          <cell r="A19" t="str">
            <v>0186EF31316930702</v>
          </cell>
          <cell r="B19" t="str">
            <v>Penitenciária de Três Corações I</v>
          </cell>
          <cell r="C19">
            <v>15000</v>
          </cell>
        </row>
        <row r="20">
          <cell r="A20" t="str">
            <v>0187EF31317010712</v>
          </cell>
          <cell r="B20" t="str">
            <v>Penitenciária de Uberaba I</v>
          </cell>
          <cell r="C20">
            <v>4000</v>
          </cell>
        </row>
        <row r="21">
          <cell r="A21" t="str">
            <v>0188EF31317020612</v>
          </cell>
          <cell r="B21" t="str">
            <v>Penitenciária de Uberlândia I - Professor João Pimenta Da Veiga</v>
          </cell>
          <cell r="C21" t="str">
            <v xml:space="preserve"> R$ -   </v>
          </cell>
        </row>
        <row r="22">
          <cell r="A22" t="str">
            <v>0189EF31317040402</v>
          </cell>
          <cell r="B22" t="str">
            <v>Penitenciária de Unaí I - Agostinho de Oliveira Júnior</v>
          </cell>
          <cell r="C22">
            <v>12000</v>
          </cell>
        </row>
        <row r="23">
          <cell r="A23" t="str">
            <v>0227EF31315460610</v>
          </cell>
          <cell r="B23" t="str">
            <v>Complexo Público Privado de Ribeirão das Neves I</v>
          </cell>
          <cell r="C23" t="str">
            <v xml:space="preserve"> R$ -   </v>
          </cell>
        </row>
        <row r="24">
          <cell r="A24" t="str">
            <v>0228EF31315460610</v>
          </cell>
          <cell r="B24" t="str">
            <v>Complexo Público Privado de Ribeirão das Neves II</v>
          </cell>
          <cell r="C24" t="str">
            <v xml:space="preserve"> R$ -   </v>
          </cell>
        </row>
      </sheetData>
      <sheetData sheetId="1">
        <row r="2">
          <cell r="A2" t="str">
            <v>0169MO31310620002</v>
          </cell>
          <cell r="B2" t="str">
            <v>Unidade Gestora de Monitoração Eletrônica de Belo Horizonte I - DOMICILIAR</v>
          </cell>
          <cell r="C2">
            <v>0</v>
          </cell>
        </row>
        <row r="3">
          <cell r="A3" t="str">
            <v>0170EF31310620011</v>
          </cell>
          <cell r="B3" t="str">
            <v>Penitenciária de Belo Horizonte I - Estevão Pinto</v>
          </cell>
          <cell r="C3">
            <v>8000</v>
          </cell>
        </row>
        <row r="4">
          <cell r="A4" t="str">
            <v>0171EF31311430300</v>
          </cell>
          <cell r="B4" t="str">
            <v>Penitenciária de Carmo do Parnaíba I</v>
          </cell>
          <cell r="C4">
            <v>8000</v>
          </cell>
        </row>
        <row r="5">
          <cell r="A5" t="str">
            <v>0172EF31311860112</v>
          </cell>
          <cell r="B5" t="str">
            <v>Penitenciária de Contagem I - Nelson Hungria</v>
          </cell>
          <cell r="C5">
            <v>17000</v>
          </cell>
        </row>
        <row r="6">
          <cell r="A6" t="str">
            <v>0173EF31312610910</v>
          </cell>
          <cell r="B6" t="str">
            <v>Penitenciária de Formiga I</v>
          </cell>
          <cell r="C6">
            <v>5000</v>
          </cell>
        </row>
        <row r="7">
          <cell r="A7" t="str">
            <v>0174EF31312770100</v>
          </cell>
          <cell r="B7" t="str">
            <v>Penitenciária de Governador Valadares I - Francisco Floriano de Paula</v>
          </cell>
          <cell r="C7">
            <v>18000</v>
          </cell>
        </row>
        <row r="8">
          <cell r="A8" t="str">
            <v>0175EF31313115800</v>
          </cell>
          <cell r="B8" t="str">
            <v>Penitenciária de Ipaba I - Dênio Moreira de Carvalho</v>
          </cell>
          <cell r="C8">
            <v>12000</v>
          </cell>
        </row>
        <row r="9">
          <cell r="A9" t="str">
            <v>0176EF31313670212</v>
          </cell>
          <cell r="B9" t="str">
            <v>Penitenciária de Juiz de Fora I - José Edson Cavalieri</v>
          </cell>
          <cell r="C9">
            <v>15000</v>
          </cell>
        </row>
        <row r="10">
          <cell r="A10" t="str">
            <v>0177EF31313670202</v>
          </cell>
          <cell r="B10" t="str">
            <v>Penitenciária de Juiz de Fora II</v>
          </cell>
          <cell r="C10">
            <v>2000</v>
          </cell>
        </row>
        <row r="11">
          <cell r="A11" t="str">
            <v>0178EF31314390610</v>
          </cell>
          <cell r="B11" t="str">
            <v>Penitenciária de Muriaé I</v>
          </cell>
          <cell r="C11">
            <v>16000</v>
          </cell>
        </row>
        <row r="12">
          <cell r="A12" t="str">
            <v>0179EF31314710512</v>
          </cell>
          <cell r="B12" t="str">
            <v>Penitenciária de Pará de Minas I - Doutor Pio Soares Canedo</v>
          </cell>
          <cell r="C12">
            <v>0</v>
          </cell>
        </row>
        <row r="13">
          <cell r="A13" t="str">
            <v>0180EF31314810310</v>
          </cell>
          <cell r="B13" t="str">
            <v>Penitenciária de Patrocínio I</v>
          </cell>
          <cell r="C13">
            <v>8000</v>
          </cell>
        </row>
        <row r="14">
          <cell r="A14" t="str">
            <v>0181EF31315210510</v>
          </cell>
          <cell r="B14" t="str">
            <v>Penitenciária de Ponte Nova I</v>
          </cell>
          <cell r="C14">
            <v>12000</v>
          </cell>
        </row>
        <row r="15">
          <cell r="A15" t="str">
            <v>0182EF31315460612</v>
          </cell>
          <cell r="B15" t="str">
            <v>Penitenciária de Ribeirão das Neves I - José Maria Alkimin</v>
          </cell>
          <cell r="C15">
            <v>3000</v>
          </cell>
        </row>
        <row r="16">
          <cell r="A16" t="str">
            <v>0183EF31316292210</v>
          </cell>
          <cell r="B16" t="str">
            <v>Penitenciária de São Joaquim de Bicas I - Professor Jason Soares de Albergaria</v>
          </cell>
          <cell r="C16">
            <v>18000</v>
          </cell>
        </row>
        <row r="17">
          <cell r="A17" t="str">
            <v>0184EF31312670310</v>
          </cell>
          <cell r="B17" t="str">
            <v>Penitenciária de Segurança Máxima de Francisco Sá I</v>
          </cell>
          <cell r="C17">
            <v>8000</v>
          </cell>
        </row>
        <row r="18">
          <cell r="A18" t="str">
            <v>0185EF31316860600</v>
          </cell>
          <cell r="B18" t="str">
            <v>Penitenciária de Teófilo Otoni I</v>
          </cell>
          <cell r="C18">
            <v>21000</v>
          </cell>
        </row>
        <row r="19">
          <cell r="A19" t="str">
            <v>0186EF31316930702</v>
          </cell>
          <cell r="B19" t="str">
            <v>Penitenciária de Três Corações I</v>
          </cell>
          <cell r="C19">
            <v>16000</v>
          </cell>
        </row>
        <row r="20">
          <cell r="A20" t="str">
            <v>0187EF31317010712</v>
          </cell>
          <cell r="B20" t="str">
            <v>Penitenciária de Uberaba I</v>
          </cell>
          <cell r="C20">
            <v>10000</v>
          </cell>
        </row>
        <row r="21">
          <cell r="A21" t="str">
            <v>0188EF31317020612</v>
          </cell>
          <cell r="B21" t="str">
            <v>Penitenciária de Uberlândia I - Professor João Pimenta Da Veiga</v>
          </cell>
          <cell r="C21">
            <v>0</v>
          </cell>
        </row>
        <row r="22">
          <cell r="A22" t="str">
            <v>0189EF31317040402</v>
          </cell>
          <cell r="B22" t="str">
            <v>Penitenciária de Unaí I - Agostinho de Oliveira Júnior</v>
          </cell>
          <cell r="C22">
            <v>27000</v>
          </cell>
        </row>
        <row r="23">
          <cell r="A23" t="str">
            <v>0227EF31315460610</v>
          </cell>
          <cell r="B23" t="str">
            <v>Complexo Público Privado de Ribeirão das Neves I</v>
          </cell>
          <cell r="C23">
            <v>0</v>
          </cell>
        </row>
        <row r="24">
          <cell r="A24" t="str">
            <v>0228EF31315460610</v>
          </cell>
          <cell r="B24" t="str">
            <v>Complexo Público Privado de Ribeirão das Neves II</v>
          </cell>
          <cell r="C24">
            <v>0</v>
          </cell>
        </row>
      </sheetData>
      <sheetData sheetId="2">
        <row r="2">
          <cell r="A2" t="str">
            <v>0169MO31310620002</v>
          </cell>
          <cell r="B2" t="str">
            <v>Unidade Gestora de Monitoração Eletrônica de Belo Horizonte I - DOMICILIAR</v>
          </cell>
          <cell r="C2">
            <v>0</v>
          </cell>
        </row>
        <row r="3">
          <cell r="A3" t="str">
            <v>0170EF31310620011</v>
          </cell>
          <cell r="B3" t="str">
            <v>Penitenciária de Belo Horizonte I - Estevão Pinto</v>
          </cell>
          <cell r="C3">
            <v>35075.040000000001</v>
          </cell>
        </row>
        <row r="4">
          <cell r="A4" t="str">
            <v>0171EF31311430300</v>
          </cell>
          <cell r="B4" t="str">
            <v>Penitenciária de Carmo do Parnaíba I</v>
          </cell>
          <cell r="C4">
            <v>8000</v>
          </cell>
        </row>
        <row r="5">
          <cell r="A5" t="str">
            <v>0172EF31311860112</v>
          </cell>
          <cell r="B5" t="str">
            <v>Penitenciária de Contagem I - Nelson Hungria</v>
          </cell>
          <cell r="C5">
            <v>68021.959999999992</v>
          </cell>
        </row>
        <row r="6">
          <cell r="A6" t="str">
            <v>0173EF31312610910</v>
          </cell>
          <cell r="B6" t="str">
            <v>Penitenciária de Formiga I</v>
          </cell>
          <cell r="C6">
            <v>7499.98</v>
          </cell>
        </row>
        <row r="7">
          <cell r="A7" t="str">
            <v>0174EF31312770100</v>
          </cell>
          <cell r="B7" t="str">
            <v>Penitenciária de Governador Valadares I - Francisco Floriano de Paula</v>
          </cell>
          <cell r="C7">
            <v>22499.98</v>
          </cell>
        </row>
        <row r="8">
          <cell r="A8" t="str">
            <v>0175EF31313115800</v>
          </cell>
          <cell r="B8" t="str">
            <v>Penitenciária de Ipaba I - Dênio Moreira de Carvalho</v>
          </cell>
          <cell r="C8">
            <v>12000</v>
          </cell>
        </row>
        <row r="9">
          <cell r="A9" t="str">
            <v>0176EF31313670212</v>
          </cell>
          <cell r="B9" t="str">
            <v>Penitenciária de Juiz de Fora I - José Edson Cavalieri</v>
          </cell>
          <cell r="C9">
            <v>15000</v>
          </cell>
        </row>
        <row r="10">
          <cell r="A10" t="str">
            <v>0177EF31313670202</v>
          </cell>
          <cell r="B10" t="str">
            <v>Penitenciária de Juiz de Fora II</v>
          </cell>
          <cell r="C10">
            <v>31546.92</v>
          </cell>
        </row>
        <row r="11">
          <cell r="A11" t="str">
            <v>0178EF31314390610</v>
          </cell>
          <cell r="B11" t="str">
            <v>Penitenciária de Muriaé I</v>
          </cell>
          <cell r="C11">
            <v>16000</v>
          </cell>
        </row>
        <row r="12">
          <cell r="A12" t="str">
            <v>0179EF31314710512</v>
          </cell>
          <cell r="B12" t="str">
            <v>Penitenciária de Pará de Minas I - Doutor Pio Soares Canedo</v>
          </cell>
          <cell r="C12">
            <v>0</v>
          </cell>
        </row>
        <row r="13">
          <cell r="A13" t="str">
            <v>0180EF31314810310</v>
          </cell>
          <cell r="B13" t="str">
            <v>Penitenciária de Patrocínio I</v>
          </cell>
          <cell r="C13">
            <v>44139.040000000001</v>
          </cell>
        </row>
        <row r="14">
          <cell r="A14" t="str">
            <v>0181EF31315210510</v>
          </cell>
          <cell r="B14" t="str">
            <v>Penitenciária de Ponte Nova I</v>
          </cell>
          <cell r="C14">
            <v>12000</v>
          </cell>
        </row>
        <row r="15">
          <cell r="A15" t="str">
            <v>0182EF31315460612</v>
          </cell>
          <cell r="B15" t="str">
            <v>Penitenciária de Ribeirão das Neves I - José Maria Alkimin</v>
          </cell>
          <cell r="C15">
            <v>42837.039999999994</v>
          </cell>
        </row>
        <row r="16">
          <cell r="A16" t="str">
            <v>0183EF31316292210</v>
          </cell>
          <cell r="B16" t="str">
            <v>Penitenciária de São Joaquim de Bicas I - Professor Jason Soares de Albergaria</v>
          </cell>
          <cell r="C16">
            <v>69935.040000000008</v>
          </cell>
        </row>
        <row r="17">
          <cell r="A17" t="str">
            <v>0184EF31312670310</v>
          </cell>
          <cell r="B17" t="str">
            <v>Penitenciária de Segurança Máxima de Francisco Sá I</v>
          </cell>
          <cell r="C17">
            <v>55937.02</v>
          </cell>
        </row>
        <row r="18">
          <cell r="A18" t="str">
            <v>0185EF31316860600</v>
          </cell>
          <cell r="B18" t="str">
            <v>Penitenciária de Teófilo Otoni I</v>
          </cell>
          <cell r="C18">
            <v>28224.58</v>
          </cell>
        </row>
        <row r="19">
          <cell r="A19" t="str">
            <v>0186EF31316930702</v>
          </cell>
          <cell r="B19" t="str">
            <v>Penitenciária de Três Corações I</v>
          </cell>
          <cell r="C19">
            <v>65135.040000000001</v>
          </cell>
        </row>
        <row r="20">
          <cell r="A20" t="str">
            <v>0187EF31317010712</v>
          </cell>
          <cell r="B20" t="str">
            <v>Penitenciária de Uberaba I</v>
          </cell>
          <cell r="C20">
            <v>10000</v>
          </cell>
        </row>
        <row r="21">
          <cell r="A21" t="str">
            <v>0188EF31317020612</v>
          </cell>
          <cell r="B21" t="str">
            <v>Penitenciária de Uberlândia I - Professor João Pimenta Da Veiga</v>
          </cell>
          <cell r="C21">
            <v>0</v>
          </cell>
        </row>
        <row r="22">
          <cell r="A22" t="str">
            <v>0189EF31317040402</v>
          </cell>
          <cell r="B22" t="str">
            <v>Penitenciária de Unaí I - Agostinho de Oliveira Júnior</v>
          </cell>
          <cell r="C22">
            <v>62488.06</v>
          </cell>
        </row>
        <row r="23">
          <cell r="A23" t="str">
            <v>0227EF31315460610</v>
          </cell>
          <cell r="B23" t="str">
            <v>Complexo Público Privado de Ribeirão das Neves I</v>
          </cell>
          <cell r="C23">
            <v>0</v>
          </cell>
        </row>
        <row r="24">
          <cell r="A24" t="str">
            <v>0228EF31315460610</v>
          </cell>
          <cell r="B24" t="str">
            <v>Complexo Público Privado de Ribeirão das Neves II</v>
          </cell>
          <cell r="C24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upação"/>
      <sheetName val="Capacidade"/>
      <sheetName val="UGME "/>
    </sheetNames>
    <sheetDataSet>
      <sheetData sheetId="0">
        <row r="4">
          <cell r="E4" t="str">
            <v>0181EF31315210510</v>
          </cell>
          <cell r="F4">
            <v>1113.0833333333333</v>
          </cell>
        </row>
        <row r="5">
          <cell r="E5" t="str">
            <v>0179EF31314710512</v>
          </cell>
          <cell r="F5">
            <v>874.83333333333337</v>
          </cell>
        </row>
        <row r="6">
          <cell r="E6" t="str">
            <v>0170EF31310620011</v>
          </cell>
          <cell r="F6">
            <v>433.08333333333331</v>
          </cell>
        </row>
        <row r="7">
          <cell r="E7" t="str">
            <v>0172EF31311860112</v>
          </cell>
          <cell r="F7">
            <v>2042.25</v>
          </cell>
        </row>
        <row r="8">
          <cell r="E8" t="str">
            <v>0171EF31311430300</v>
          </cell>
          <cell r="F8">
            <v>636.5</v>
          </cell>
        </row>
        <row r="9">
          <cell r="E9" t="str">
            <v>0227EF31315460610</v>
          </cell>
          <cell r="F9">
            <v>664.66666666666663</v>
          </cell>
        </row>
        <row r="10">
          <cell r="E10" t="str">
            <v>0228EF31315460610</v>
          </cell>
          <cell r="F10">
            <v>664.66666666666663</v>
          </cell>
        </row>
        <row r="11">
          <cell r="E11" t="str">
            <v>0189EF31317040402</v>
          </cell>
          <cell r="F11">
            <v>834.33333333333337</v>
          </cell>
        </row>
        <row r="12">
          <cell r="E12" t="str">
            <v>0173EF31312610910</v>
          </cell>
          <cell r="F12">
            <v>835</v>
          </cell>
        </row>
        <row r="13">
          <cell r="E13" t="str">
            <v>0184EF31312670310</v>
          </cell>
          <cell r="F13">
            <v>506.5</v>
          </cell>
        </row>
        <row r="14">
          <cell r="E14" t="str">
            <v>0185EF31316860600</v>
          </cell>
          <cell r="F14">
            <v>319.25</v>
          </cell>
        </row>
        <row r="15">
          <cell r="E15" t="str">
            <v>0186EF31316930702</v>
          </cell>
          <cell r="F15">
            <v>1244.8333333333333</v>
          </cell>
        </row>
        <row r="16">
          <cell r="E16" t="str">
            <v>0175EF31313115800</v>
          </cell>
          <cell r="F16">
            <v>1365.8333333333333</v>
          </cell>
        </row>
        <row r="17">
          <cell r="E17" t="str">
            <v>0180EF31314810310</v>
          </cell>
          <cell r="F17">
            <v>1331.9166666666667</v>
          </cell>
        </row>
        <row r="18">
          <cell r="E18" t="str">
            <v>0178EF31314390610</v>
          </cell>
          <cell r="F18">
            <v>834</v>
          </cell>
        </row>
        <row r="19">
          <cell r="E19" t="str">
            <v>0174EF31312770100</v>
          </cell>
          <cell r="F19">
            <v>1284</v>
          </cell>
        </row>
        <row r="20">
          <cell r="E20" t="str">
            <v>0176EF31313670212</v>
          </cell>
          <cell r="F20">
            <v>455.75</v>
          </cell>
        </row>
        <row r="21">
          <cell r="E21" t="str">
            <v>0177EF31313670202</v>
          </cell>
          <cell r="F21">
            <v>941.66666666666663</v>
          </cell>
        </row>
        <row r="22">
          <cell r="E22" t="str">
            <v>0182EF31315460612</v>
          </cell>
          <cell r="F22">
            <v>2449.9166666666665</v>
          </cell>
        </row>
        <row r="23">
          <cell r="E23" t="str">
            <v>0187EF31317010712</v>
          </cell>
          <cell r="F23">
            <v>1549.8333333333333</v>
          </cell>
        </row>
        <row r="24">
          <cell r="E24" t="str">
            <v>0183EF31316292210</v>
          </cell>
          <cell r="F24">
            <v>754.58333333333337</v>
          </cell>
        </row>
        <row r="25">
          <cell r="E25" t="str">
            <v>0188EF31317020612</v>
          </cell>
          <cell r="F25">
            <v>697.91666666666663</v>
          </cell>
        </row>
        <row r="27">
          <cell r="E27" t="str">
            <v>0181EF31315210510</v>
          </cell>
          <cell r="F27">
            <v>1097.4166666666667</v>
          </cell>
        </row>
        <row r="28">
          <cell r="E28" t="str">
            <v>0179EF31314710512</v>
          </cell>
          <cell r="F28">
            <v>813.41666666666663</v>
          </cell>
        </row>
        <row r="29">
          <cell r="E29" t="str">
            <v>0170EF31310620011</v>
          </cell>
          <cell r="F29">
            <v>320.83333333333331</v>
          </cell>
        </row>
        <row r="30">
          <cell r="E30" t="str">
            <v>0172EF31311860112</v>
          </cell>
          <cell r="F30">
            <v>1939.25</v>
          </cell>
        </row>
        <row r="31">
          <cell r="E31" t="str">
            <v>0171EF31311430300</v>
          </cell>
          <cell r="F31">
            <v>543.66666666666663</v>
          </cell>
        </row>
        <row r="32">
          <cell r="E32" t="str">
            <v>0227EF31315460610</v>
          </cell>
          <cell r="F32">
            <v>667.16666666666663</v>
          </cell>
        </row>
        <row r="33">
          <cell r="E33" t="str">
            <v>0228EF31315460610</v>
          </cell>
          <cell r="F33">
            <v>667.33333333333337</v>
          </cell>
        </row>
        <row r="34">
          <cell r="E34" t="str">
            <v>0189EF31317040402</v>
          </cell>
          <cell r="F34">
            <v>909</v>
          </cell>
        </row>
        <row r="35">
          <cell r="E35" t="str">
            <v>0173EF31312610910</v>
          </cell>
          <cell r="F35">
            <v>726.08333333333337</v>
          </cell>
        </row>
        <row r="36">
          <cell r="E36" t="str">
            <v>0184EF31312670310</v>
          </cell>
          <cell r="F36">
            <v>483.5</v>
          </cell>
        </row>
        <row r="37">
          <cell r="E37" t="str">
            <v>0185EF31316860600</v>
          </cell>
          <cell r="F37">
            <v>262.83333333333331</v>
          </cell>
        </row>
        <row r="38">
          <cell r="E38" t="str">
            <v>0186EF31316930702</v>
          </cell>
          <cell r="F38">
            <v>1166.8333333333333</v>
          </cell>
        </row>
        <row r="39">
          <cell r="E39" t="str">
            <v>0175EF31313115800</v>
          </cell>
          <cell r="F39">
            <v>1250.6666666666667</v>
          </cell>
        </row>
        <row r="40">
          <cell r="E40" t="str">
            <v>0180EF31314810310</v>
          </cell>
          <cell r="F40">
            <v>1089</v>
          </cell>
        </row>
        <row r="41">
          <cell r="E41" t="str">
            <v>0178EF31314390610</v>
          </cell>
          <cell r="F41">
            <v>738.33333333333337</v>
          </cell>
        </row>
        <row r="42">
          <cell r="E42" t="str">
            <v>0174EF31312770100</v>
          </cell>
          <cell r="F42">
            <v>1187.75</v>
          </cell>
        </row>
        <row r="43">
          <cell r="E43" t="str">
            <v>0176EF31313670212</v>
          </cell>
          <cell r="F43">
            <v>546.5</v>
          </cell>
        </row>
        <row r="44">
          <cell r="E44" t="str">
            <v>0177EF31313670202</v>
          </cell>
          <cell r="F44">
            <v>912.5</v>
          </cell>
        </row>
        <row r="45">
          <cell r="E45" t="str">
            <v>0182EF31315460612</v>
          </cell>
          <cell r="F45">
            <v>1434.25</v>
          </cell>
        </row>
        <row r="46">
          <cell r="E46" t="str">
            <v>0187EF31317010712</v>
          </cell>
          <cell r="F46">
            <v>1416.9166666666667</v>
          </cell>
        </row>
        <row r="47">
          <cell r="E47" t="str">
            <v>0183EF31316292210</v>
          </cell>
          <cell r="F47">
            <v>618.25</v>
          </cell>
        </row>
        <row r="48">
          <cell r="E48" t="str">
            <v>0188EF31317020612</v>
          </cell>
          <cell r="F48">
            <v>524.41666666666663</v>
          </cell>
        </row>
        <row r="50">
          <cell r="E50" t="str">
            <v>0181EF31315210510</v>
          </cell>
          <cell r="F50">
            <v>1069</v>
          </cell>
        </row>
        <row r="51">
          <cell r="E51" t="str">
            <v>0179EF31314710512</v>
          </cell>
          <cell r="F51">
            <v>761.5</v>
          </cell>
        </row>
        <row r="52">
          <cell r="E52" t="str">
            <v>0170EF31310620011</v>
          </cell>
          <cell r="F52">
            <v>368.91666666666669</v>
          </cell>
        </row>
        <row r="53">
          <cell r="E53" t="str">
            <v>0172EF31311860112</v>
          </cell>
          <cell r="F53">
            <v>2332.75</v>
          </cell>
        </row>
        <row r="54">
          <cell r="E54" t="str">
            <v>0171EF31311430300</v>
          </cell>
          <cell r="F54">
            <v>586.08333333333337</v>
          </cell>
        </row>
        <row r="55">
          <cell r="E55" t="str">
            <v>0227EF31315460610</v>
          </cell>
          <cell r="F55">
            <v>664.58333333333337</v>
          </cell>
        </row>
        <row r="56">
          <cell r="E56" t="str">
            <v>0228EF31315460610</v>
          </cell>
          <cell r="F56">
            <v>662.91666666666663</v>
          </cell>
        </row>
        <row r="57">
          <cell r="E57" t="str">
            <v>0189EF31317040402</v>
          </cell>
          <cell r="F57">
            <v>889.75</v>
          </cell>
        </row>
        <row r="58">
          <cell r="E58" t="str">
            <v>0173EF31312610910</v>
          </cell>
          <cell r="F58">
            <v>661.25</v>
          </cell>
        </row>
        <row r="59">
          <cell r="E59" t="str">
            <v>0184EF31312670310</v>
          </cell>
          <cell r="F59">
            <v>475.25</v>
          </cell>
        </row>
        <row r="60">
          <cell r="E60" t="str">
            <v>0185EF31316860600</v>
          </cell>
          <cell r="F60">
            <v>245.58333333333334</v>
          </cell>
        </row>
        <row r="61">
          <cell r="E61" t="str">
            <v>0186EF31316930702</v>
          </cell>
          <cell r="F61">
            <v>1195</v>
          </cell>
        </row>
        <row r="62">
          <cell r="E62" t="str">
            <v>0175EF31313115800</v>
          </cell>
          <cell r="F62">
            <v>1221.1666666666667</v>
          </cell>
        </row>
        <row r="63">
          <cell r="E63" t="str">
            <v>0180EF31314810310</v>
          </cell>
          <cell r="F63">
            <v>879.91666666666663</v>
          </cell>
        </row>
        <row r="64">
          <cell r="E64" t="str">
            <v>0178EF31314390610</v>
          </cell>
          <cell r="F64">
            <v>803.16666666666663</v>
          </cell>
        </row>
        <row r="65">
          <cell r="E65" t="str">
            <v>0174EF31312770100</v>
          </cell>
          <cell r="F65">
            <v>1234.6666666666667</v>
          </cell>
        </row>
        <row r="66">
          <cell r="E66" t="str">
            <v>0176EF31313670212</v>
          </cell>
          <cell r="F66">
            <v>1045.3333333333333</v>
          </cell>
        </row>
        <row r="67">
          <cell r="E67" t="str">
            <v>0177EF31313670202</v>
          </cell>
          <cell r="F67">
            <v>961.41666666666663</v>
          </cell>
        </row>
        <row r="68">
          <cell r="E68" t="str">
            <v>0182EF31315460612</v>
          </cell>
          <cell r="F68">
            <v>1933</v>
          </cell>
        </row>
        <row r="69">
          <cell r="E69" t="str">
            <v>0187EF31317010712</v>
          </cell>
          <cell r="F69">
            <v>1397.5833333333333</v>
          </cell>
        </row>
        <row r="70">
          <cell r="E70" t="str">
            <v>0183EF31316292210</v>
          </cell>
          <cell r="F70">
            <v>361.66666666666669</v>
          </cell>
        </row>
        <row r="71">
          <cell r="E71" t="str">
            <v>0188EF31317020612</v>
          </cell>
          <cell r="F71">
            <v>469.75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8A477-B3B4-4876-961E-FB73FEEE624F}">
  <dimension ref="A1:V24"/>
  <sheetViews>
    <sheetView tabSelected="1" workbookViewId="0"/>
  </sheetViews>
  <sheetFormatPr defaultRowHeight="15" x14ac:dyDescent="0.25"/>
  <cols>
    <col min="9" max="9" width="9.140625" style="10"/>
    <col min="10" max="10" width="50.140625" customWidth="1"/>
    <col min="16" max="16" width="22.140625" customWidth="1"/>
    <col min="17" max="17" width="14.5703125" customWidth="1"/>
    <col min="18" max="18" width="15.85546875" customWidth="1"/>
  </cols>
  <sheetData>
    <row r="1" spans="1:22" x14ac:dyDescent="0.25">
      <c r="A1" s="1" t="s">
        <v>112</v>
      </c>
      <c r="B1" s="1" t="s">
        <v>113</v>
      </c>
      <c r="C1" t="s">
        <v>114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  <c r="I1" s="10" t="s">
        <v>120</v>
      </c>
      <c r="J1" t="s">
        <v>121</v>
      </c>
      <c r="K1" s="1" t="s">
        <v>112</v>
      </c>
      <c r="L1" t="s">
        <v>122</v>
      </c>
      <c r="M1" t="s">
        <v>123</v>
      </c>
      <c r="N1" t="s">
        <v>124</v>
      </c>
      <c r="O1" t="s">
        <v>125</v>
      </c>
      <c r="P1" t="s">
        <v>133</v>
      </c>
      <c r="Q1" t="s">
        <v>134</v>
      </c>
      <c r="R1" t="s">
        <v>135</v>
      </c>
      <c r="S1" t="s">
        <v>140</v>
      </c>
      <c r="T1" t="s">
        <v>142</v>
      </c>
      <c r="U1" t="s">
        <v>143</v>
      </c>
      <c r="V1" t="s">
        <v>144</v>
      </c>
    </row>
    <row r="2" spans="1:22" x14ac:dyDescent="0.25">
      <c r="A2" s="1" t="s">
        <v>0</v>
      </c>
      <c r="B2" s="1" t="s">
        <v>1</v>
      </c>
      <c r="C2" t="s">
        <v>2</v>
      </c>
      <c r="D2">
        <v>31</v>
      </c>
      <c r="E2" t="s">
        <v>3</v>
      </c>
      <c r="F2" t="s">
        <v>4</v>
      </c>
      <c r="G2" t="s">
        <v>5</v>
      </c>
      <c r="H2">
        <v>0</v>
      </c>
      <c r="J2" t="s">
        <v>6</v>
      </c>
      <c r="K2" s="1" t="s">
        <v>0</v>
      </c>
      <c r="L2">
        <v>2</v>
      </c>
      <c r="M2">
        <v>0</v>
      </c>
      <c r="N2">
        <v>2</v>
      </c>
      <c r="O2">
        <v>0</v>
      </c>
      <c r="P2" t="str">
        <f>VLOOKUP(A2,'[1]2019'!$A$1:$C$22,3,0)</f>
        <v>Unidade Gestora de Monitoração Eletrônica de Belo Horizonte I - DOMICILIAR</v>
      </c>
      <c r="Q2" t="str">
        <f>VLOOKUP(A2,'[2]2019'!$A$2:$B$24,2,0)</f>
        <v>Unidade Gestora de Monitoração Eletrônica de Belo Horizonte I - DOMICILIAR</v>
      </c>
      <c r="R2" t="str">
        <f>VLOOKUP(A2,'[3]2019'!$A$2:$B$24,2,0)</f>
        <v>Unidade Gestora de Monitoração Eletrônica de Belo Horizonte I - DOMICILIAR</v>
      </c>
      <c r="S2" t="str">
        <f>VLOOKUP(A2,'[4]2019'!$A$2:$B$24,2,0)</f>
        <v>Unidade Gestora de Monitoração Eletrônica de Belo Horizonte I - DOMICILIAR</v>
      </c>
      <c r="T2" t="str">
        <f>VLOOKUP(A2,'[5]2019'!$A$2:$B$24,2,0)</f>
        <v>Unidade Gestora de Monitoração Eletrônica de Belo Horizonte I - DOMICILIAR</v>
      </c>
      <c r="U2" t="str">
        <f>VLOOKUP(A2,'[6]2019'!$A$1:$B$24,2,0)</f>
        <v>Unidade Gestora de Monitoração Eletrônica de Belo Horizonte I - DOMICILIAR</v>
      </c>
      <c r="V2" t="str">
        <f>VLOOKUP(A2,'[7]2019'!$A$2:$B$24,2,0)</f>
        <v>Unidade Gestora de Monitoração Eletrônica de Belo Horizonte I - DOMICILIAR</v>
      </c>
    </row>
    <row r="3" spans="1:22" x14ac:dyDescent="0.25">
      <c r="A3" s="1" t="s">
        <v>7</v>
      </c>
      <c r="B3" s="1" t="s">
        <v>8</v>
      </c>
      <c r="C3" t="s">
        <v>9</v>
      </c>
      <c r="D3">
        <v>31</v>
      </c>
      <c r="E3" t="s">
        <v>3</v>
      </c>
      <c r="F3" t="s">
        <v>4</v>
      </c>
      <c r="G3" t="s">
        <v>5</v>
      </c>
      <c r="H3">
        <v>1</v>
      </c>
      <c r="I3" s="11">
        <v>3329917</v>
      </c>
      <c r="J3" t="s">
        <v>10</v>
      </c>
      <c r="K3" s="1" t="s">
        <v>7</v>
      </c>
      <c r="L3">
        <v>1</v>
      </c>
      <c r="M3">
        <v>74</v>
      </c>
      <c r="N3">
        <v>0</v>
      </c>
      <c r="O3">
        <v>0</v>
      </c>
      <c r="P3" t="str">
        <f>VLOOKUP(A3,'[1]2019'!$A$1:$C$22,3,0)</f>
        <v>Penitenciária de Belo Horizonte I - Estevão Pinto</v>
      </c>
      <c r="Q3" t="str">
        <f>VLOOKUP(A3,'[2]2019'!$A$2:$B$24,2,0)</f>
        <v>Penitenciária de Belo Horizonte I - Estevão Pinto</v>
      </c>
      <c r="R3" t="str">
        <f>VLOOKUP(A3,'[3]2019'!$A$2:$B$24,2,0)</f>
        <v>Penitenciária de Belo Horizonte I - Estevão Pinto</v>
      </c>
      <c r="S3" t="str">
        <f>VLOOKUP(A3,'[4]2019'!$A$2:$B$24,2,0)</f>
        <v>Penitenciária de Belo Horizonte I - Estevão Pinto</v>
      </c>
      <c r="T3" t="str">
        <f>VLOOKUP(A3,'[5]2019'!$A$2:$B$24,2,0)</f>
        <v>Penitenciária de Belo Horizonte I - Estevão Pinto</v>
      </c>
      <c r="U3" t="str">
        <f>VLOOKUP(A3,'[6]2019'!$A$1:$B$24,2,0)</f>
        <v>Penitenciária de Belo Horizonte I - Estevão Pinto</v>
      </c>
      <c r="V3" t="str">
        <f>VLOOKUP(A3,'[7]2019'!$A$2:$B$24,2,0)</f>
        <v>Penitenciária de Belo Horizonte I - Estevão Pinto</v>
      </c>
    </row>
    <row r="4" spans="1:22" x14ac:dyDescent="0.25">
      <c r="A4" s="1" t="s">
        <v>11</v>
      </c>
      <c r="B4" s="1" t="s">
        <v>12</v>
      </c>
      <c r="C4" t="s">
        <v>9</v>
      </c>
      <c r="D4">
        <v>31</v>
      </c>
      <c r="E4" t="s">
        <v>3</v>
      </c>
      <c r="F4" t="s">
        <v>13</v>
      </c>
      <c r="G4" t="s">
        <v>14</v>
      </c>
      <c r="H4">
        <v>0</v>
      </c>
      <c r="J4" t="s">
        <v>15</v>
      </c>
      <c r="K4" s="1" t="s">
        <v>11</v>
      </c>
      <c r="L4">
        <v>0</v>
      </c>
      <c r="M4">
        <v>0</v>
      </c>
      <c r="N4">
        <v>0</v>
      </c>
      <c r="O4">
        <v>0</v>
      </c>
      <c r="P4" t="str">
        <f>VLOOKUP(A4,'[1]2019'!$A$1:$C$22,3,0)</f>
        <v>Penitenciária de Carmo do Parnaíba I</v>
      </c>
      <c r="Q4" t="str">
        <f>VLOOKUP(A4,'[2]2019'!$A$2:$B$24,2,0)</f>
        <v>Penitenciária de Carmo do Parnaíba I</v>
      </c>
      <c r="R4" t="str">
        <f>VLOOKUP(A4,'[3]2019'!$A$2:$B$24,2,0)</f>
        <v>Penitenciária de Carmo do Parnaíba I</v>
      </c>
      <c r="S4" t="str">
        <f>VLOOKUP(A4,'[4]2019'!$A$2:$B$24,2,0)</f>
        <v>Penitenciária de Carmo do Parnaíba I</v>
      </c>
      <c r="T4" t="str">
        <f>VLOOKUP(A4,'[5]2019'!$A$2:$B$24,2,0)</f>
        <v>Penitenciária de Carmo do Paranaíba I</v>
      </c>
      <c r="U4" t="str">
        <f>VLOOKUP(A4,'[6]2019'!$A$1:$B$24,2,0)</f>
        <v>Penitenciária de Carmo do Parnaíba I</v>
      </c>
      <c r="V4" t="str">
        <f>VLOOKUP(A4,'[7]2019'!$A$2:$B$24,2,0)</f>
        <v>Penitenciária de Carmo do Parnaíba I</v>
      </c>
    </row>
    <row r="5" spans="1:22" x14ac:dyDescent="0.25">
      <c r="A5" s="1" t="s">
        <v>16</v>
      </c>
      <c r="B5" s="1" t="s">
        <v>17</v>
      </c>
      <c r="C5" t="s">
        <v>9</v>
      </c>
      <c r="D5">
        <v>31</v>
      </c>
      <c r="E5" t="s">
        <v>3</v>
      </c>
      <c r="F5" t="s">
        <v>18</v>
      </c>
      <c r="G5" t="s">
        <v>19</v>
      </c>
      <c r="H5">
        <v>1</v>
      </c>
      <c r="I5" s="11">
        <v>3214540</v>
      </c>
      <c r="J5" t="s">
        <v>20</v>
      </c>
      <c r="K5" s="1" t="s">
        <v>16</v>
      </c>
      <c r="L5">
        <v>2</v>
      </c>
      <c r="M5">
        <v>74</v>
      </c>
      <c r="N5">
        <v>0</v>
      </c>
      <c r="O5">
        <v>0</v>
      </c>
      <c r="P5" t="str">
        <f>VLOOKUP(A5,'[1]2019'!$A$1:$C$22,3,0)</f>
        <v>Penitenciária de Contagem I - Nelson Hungria</v>
      </c>
      <c r="Q5" t="str">
        <f>VLOOKUP(A5,'[2]2019'!$A$2:$B$24,2,0)</f>
        <v>Penitenciária de Contagem I - Nelson Hungria</v>
      </c>
      <c r="R5" t="str">
        <f>VLOOKUP(A5,'[3]2019'!$A$2:$B$24,2,0)</f>
        <v>Penitenciária de Contagem I - Nelson Hungria</v>
      </c>
      <c r="S5" t="str">
        <f>VLOOKUP(A5,'[4]2019'!$A$2:$B$24,2,0)</f>
        <v>Penitenciária de Contagem I - Nelson Hungria</v>
      </c>
      <c r="T5" t="str">
        <f>VLOOKUP(A5,'[5]2019'!$A$2:$B$24,2,0)</f>
        <v>Penitenciária de Contagem I - Nelson Hungria</v>
      </c>
      <c r="U5" t="str">
        <f>VLOOKUP(A5,'[6]2019'!$A$1:$B$24,2,0)</f>
        <v>Penitenciária de Contagem I - Nelson Hungria</v>
      </c>
      <c r="V5" t="str">
        <f>VLOOKUP(A5,'[7]2019'!$A$2:$B$24,2,0)</f>
        <v>Penitenciária de Contagem I - Nelson Hungria</v>
      </c>
    </row>
    <row r="6" spans="1:22" x14ac:dyDescent="0.25">
      <c r="A6" s="1" t="s">
        <v>21</v>
      </c>
      <c r="B6" s="1" t="s">
        <v>22</v>
      </c>
      <c r="C6" t="s">
        <v>9</v>
      </c>
      <c r="D6">
        <v>31</v>
      </c>
      <c r="E6" t="s">
        <v>3</v>
      </c>
      <c r="F6" t="s">
        <v>23</v>
      </c>
      <c r="G6" t="s">
        <v>24</v>
      </c>
      <c r="H6">
        <v>1</v>
      </c>
      <c r="I6" s="11">
        <v>5984955</v>
      </c>
      <c r="J6" t="s">
        <v>25</v>
      </c>
      <c r="K6" s="1" t="s">
        <v>21</v>
      </c>
      <c r="L6">
        <v>0</v>
      </c>
      <c r="M6">
        <v>74</v>
      </c>
      <c r="N6">
        <v>0</v>
      </c>
      <c r="O6">
        <v>0</v>
      </c>
      <c r="P6" t="str">
        <f>VLOOKUP(A6,'[1]2019'!$A$1:$C$22,3,0)</f>
        <v>Penitenciária de Formiga I</v>
      </c>
      <c r="Q6" t="str">
        <f>VLOOKUP(A6,'[2]2019'!$A$2:$B$24,2,0)</f>
        <v>Penitenciária de Formiga I</v>
      </c>
      <c r="R6" t="str">
        <f>VLOOKUP(A6,'[3]2019'!$A$2:$B$24,2,0)</f>
        <v>Penitenciária de Formiga I</v>
      </c>
      <c r="S6" t="str">
        <f>VLOOKUP(A6,'[4]2019'!$A$2:$B$24,2,0)</f>
        <v>Penitenciária de Formiga I</v>
      </c>
      <c r="T6" t="str">
        <f>VLOOKUP(A6,'[5]2019'!$A$2:$B$24,2,0)</f>
        <v>Penitenciária de Formiga I</v>
      </c>
      <c r="U6" t="str">
        <f>VLOOKUP(A6,'[6]2019'!$A$1:$B$24,2,0)</f>
        <v>Penitenciária de Formiga I</v>
      </c>
      <c r="V6" t="str">
        <f>VLOOKUP(A6,'[7]2019'!$A$2:$B$24,2,0)</f>
        <v>Penitenciária de Formiga I</v>
      </c>
    </row>
    <row r="7" spans="1:22" x14ac:dyDescent="0.25">
      <c r="A7" s="1" t="s">
        <v>26</v>
      </c>
      <c r="B7" s="1" t="s">
        <v>27</v>
      </c>
      <c r="C7" t="s">
        <v>9</v>
      </c>
      <c r="D7">
        <v>31</v>
      </c>
      <c r="E7" t="s">
        <v>3</v>
      </c>
      <c r="F7" t="s">
        <v>28</v>
      </c>
      <c r="G7" t="s">
        <v>29</v>
      </c>
      <c r="H7">
        <v>0</v>
      </c>
      <c r="J7" t="s">
        <v>30</v>
      </c>
      <c r="K7" s="1" t="s">
        <v>26</v>
      </c>
      <c r="L7">
        <v>0</v>
      </c>
      <c r="M7">
        <v>0</v>
      </c>
      <c r="N7">
        <v>0</v>
      </c>
      <c r="O7">
        <v>0</v>
      </c>
      <c r="P7" t="str">
        <f>VLOOKUP(A7,'[1]2019'!$A$1:$C$22,3,0)</f>
        <v>Penitenciária de Governador Valadares I - Francisco Floriano de Paula</v>
      </c>
      <c r="Q7" t="str">
        <f>VLOOKUP(A7,'[2]2019'!$A$2:$B$24,2,0)</f>
        <v>Penitenciária de Governador Valadares I - Francisco Floriano de Paula</v>
      </c>
      <c r="R7" t="str">
        <f>VLOOKUP(A7,'[3]2019'!$A$2:$B$24,2,0)</f>
        <v>Penitenciária de Governador Valadares I - Francisco Floriano de Paula</v>
      </c>
      <c r="S7" t="str">
        <f>VLOOKUP(A7,'[4]2019'!$A$2:$B$24,2,0)</f>
        <v>Penitenciária de Governador Valadares I - Francisco Floriano de Paula</v>
      </c>
      <c r="T7" t="str">
        <f>VLOOKUP(A7,'[5]2019'!$A$2:$B$24,2,0)</f>
        <v>Penitenciária de Governador Valadares I - Francisco Floriano de Paula</v>
      </c>
      <c r="U7" t="str">
        <f>VLOOKUP(A7,'[6]2019'!$A$1:$B$24,2,0)</f>
        <v>Penitenciária de Governador Valadares I - Francisco Floriano de Paula</v>
      </c>
      <c r="V7" t="str">
        <f>VLOOKUP(A7,'[7]2019'!$A$2:$B$24,2,0)</f>
        <v>Penitenciária de Governador Valadares I - Francisco Floriano de Paula</v>
      </c>
    </row>
    <row r="8" spans="1:22" x14ac:dyDescent="0.25">
      <c r="A8" s="1" t="s">
        <v>31</v>
      </c>
      <c r="B8" s="1" t="s">
        <v>32</v>
      </c>
      <c r="C8" t="s">
        <v>9</v>
      </c>
      <c r="D8">
        <v>31</v>
      </c>
      <c r="E8" t="s">
        <v>3</v>
      </c>
      <c r="F8" t="s">
        <v>33</v>
      </c>
      <c r="G8" t="s">
        <v>34</v>
      </c>
      <c r="H8">
        <v>0</v>
      </c>
      <c r="J8" t="s">
        <v>35</v>
      </c>
      <c r="K8" s="1" t="s">
        <v>31</v>
      </c>
      <c r="L8">
        <v>0</v>
      </c>
      <c r="M8">
        <v>0</v>
      </c>
      <c r="N8">
        <v>0</v>
      </c>
      <c r="O8">
        <v>0</v>
      </c>
      <c r="P8" t="str">
        <f>VLOOKUP(A8,'[1]2019'!$A$1:$C$22,3,0)</f>
        <v>Penitenciária de Ipaba I - Dênio Moreira de Carvalho</v>
      </c>
      <c r="Q8" t="str">
        <f>VLOOKUP(A8,'[2]2019'!$A$2:$B$24,2,0)</f>
        <v>Penitenciária de Ipaba I - Dênio Moreira de Carvalho</v>
      </c>
      <c r="R8" t="str">
        <f>VLOOKUP(A8,'[3]2019'!$A$2:$B$24,2,0)</f>
        <v>Penitenciária de Ipaba I - Dênio Moreira de Carvalho</v>
      </c>
      <c r="S8" t="str">
        <f>VLOOKUP(A8,'[4]2019'!$A$2:$B$24,2,0)</f>
        <v>Penitenciária de Ipaba I - Dênio Moreira de Carvalho</v>
      </c>
      <c r="T8" t="str">
        <f>VLOOKUP(A8,'[5]2019'!$A$2:$B$24,2,0)</f>
        <v>Penitenciária de Ipaba I - Dênio Moreira de Carvalho</v>
      </c>
      <c r="U8" t="str">
        <f>VLOOKUP(A8,'[6]2019'!$A$1:$B$24,2,0)</f>
        <v>Penitenciária de Ipaba I - Dênio Moreira de Carvalho</v>
      </c>
      <c r="V8" t="str">
        <f>VLOOKUP(A8,'[7]2019'!$A$2:$B$24,2,0)</f>
        <v>Penitenciária de Ipaba I - Dênio Moreira de Carvalho</v>
      </c>
    </row>
    <row r="9" spans="1:22" x14ac:dyDescent="0.25">
      <c r="A9" s="1" t="s">
        <v>36</v>
      </c>
      <c r="B9" s="1" t="s">
        <v>37</v>
      </c>
      <c r="C9" t="s">
        <v>9</v>
      </c>
      <c r="D9">
        <v>31</v>
      </c>
      <c r="E9" t="s">
        <v>3</v>
      </c>
      <c r="F9" t="s">
        <v>38</v>
      </c>
      <c r="G9" t="s">
        <v>39</v>
      </c>
      <c r="H9">
        <v>1</v>
      </c>
      <c r="I9" s="11">
        <v>3573397</v>
      </c>
      <c r="J9" t="s">
        <v>40</v>
      </c>
      <c r="K9" s="1" t="s">
        <v>36</v>
      </c>
      <c r="L9">
        <v>2</v>
      </c>
      <c r="M9">
        <v>0</v>
      </c>
      <c r="N9">
        <v>0</v>
      </c>
      <c r="O9">
        <v>0</v>
      </c>
      <c r="P9" t="str">
        <f>VLOOKUP(A9,'[1]2019'!$A$1:$C$22,3,0)</f>
        <v>Penitenciária de Juiz de Fora I - José Edson Cavalieri</v>
      </c>
      <c r="Q9" t="str">
        <f>VLOOKUP(A9,'[2]2019'!$A$2:$B$24,2,0)</f>
        <v>Penitenciária de Juiz de Fora I - José Edson Cavalieri</v>
      </c>
      <c r="R9" t="str">
        <f>VLOOKUP(A9,'[3]2019'!$A$2:$B$24,2,0)</f>
        <v>Penitenciária de Juiz de Fora I - José Edson Cavalieri</v>
      </c>
      <c r="S9" t="str">
        <f>VLOOKUP(A9,'[4]2019'!$A$2:$B$24,2,0)</f>
        <v>Penitenciária de Juiz de Fora I - José Edson Cavalieri</v>
      </c>
      <c r="T9" t="str">
        <f>VLOOKUP(A9,'[5]2019'!$A$2:$B$24,2,0)</f>
        <v>Penitenciária de Juiz de Fora I - José Edson Cavalieri</v>
      </c>
      <c r="U9" t="str">
        <f>VLOOKUP(A9,'[6]2019'!$A$1:$B$24,2,0)</f>
        <v>Penitenciária de Juiz de Fora I - José Edson Cavalieri</v>
      </c>
      <c r="V9" t="str">
        <f>VLOOKUP(A9,'[7]2019'!$A$2:$B$24,2,0)</f>
        <v>Penitenciária de Juiz de Fora I - José Edson Cavalieri</v>
      </c>
    </row>
    <row r="10" spans="1:22" x14ac:dyDescent="0.25">
      <c r="A10" s="1" t="s">
        <v>41</v>
      </c>
      <c r="B10" s="1" t="s">
        <v>42</v>
      </c>
      <c r="C10" t="s">
        <v>9</v>
      </c>
      <c r="D10">
        <v>31</v>
      </c>
      <c r="E10" t="s">
        <v>3</v>
      </c>
      <c r="F10" t="s">
        <v>38</v>
      </c>
      <c r="G10" t="s">
        <v>39</v>
      </c>
      <c r="H10">
        <v>0</v>
      </c>
      <c r="J10" t="s">
        <v>43</v>
      </c>
      <c r="K10" s="1" t="s">
        <v>41</v>
      </c>
      <c r="L10">
        <v>2</v>
      </c>
      <c r="M10">
        <v>74</v>
      </c>
      <c r="N10">
        <v>0</v>
      </c>
      <c r="O10">
        <v>0</v>
      </c>
      <c r="P10" t="str">
        <f>VLOOKUP(A10,'[1]2019'!$A$1:$C$22,3,0)</f>
        <v>Penitenciária de Juiz de Fora II</v>
      </c>
      <c r="Q10" t="str">
        <f>VLOOKUP(A10,'[2]2019'!$A$2:$B$24,2,0)</f>
        <v>Penitenciária de Juiz de Fora II</v>
      </c>
      <c r="R10" t="str">
        <f>VLOOKUP(A10,'[3]2019'!$A$2:$B$24,2,0)</f>
        <v>Penitenciária de Juiz de Fora II</v>
      </c>
      <c r="S10" t="str">
        <f>VLOOKUP(A10,'[4]2019'!$A$2:$B$24,2,0)</f>
        <v>Penitenciária de Juiz de Fora II</v>
      </c>
      <c r="T10" t="str">
        <f>VLOOKUP(A10,'[5]2019'!$A$2:$B$24,2,0)</f>
        <v>Penitenciária de Juiz de Fora II</v>
      </c>
      <c r="U10" t="str">
        <f>VLOOKUP(A10,'[6]2019'!$A$1:$B$24,2,0)</f>
        <v>Penitenciária de Juiz de Fora II - Ariosvaldo</v>
      </c>
      <c r="V10" t="str">
        <f>VLOOKUP(A10,'[7]2019'!$A$2:$B$24,2,0)</f>
        <v>Penitenciária de Juiz de Fora II</v>
      </c>
    </row>
    <row r="11" spans="1:22" x14ac:dyDescent="0.25">
      <c r="A11" s="1" t="s">
        <v>44</v>
      </c>
      <c r="B11" s="1" t="s">
        <v>45</v>
      </c>
      <c r="C11" t="s">
        <v>9</v>
      </c>
      <c r="D11">
        <v>31</v>
      </c>
      <c r="E11" t="s">
        <v>3</v>
      </c>
      <c r="F11" t="s">
        <v>46</v>
      </c>
      <c r="G11" t="s">
        <v>47</v>
      </c>
      <c r="H11">
        <v>1</v>
      </c>
      <c r="I11" s="9" t="s">
        <v>48</v>
      </c>
      <c r="J11" t="s">
        <v>49</v>
      </c>
      <c r="K11" s="1" t="s">
        <v>44</v>
      </c>
      <c r="L11">
        <v>0</v>
      </c>
      <c r="M11">
        <v>74</v>
      </c>
      <c r="N11">
        <v>0</v>
      </c>
      <c r="O11">
        <v>0</v>
      </c>
      <c r="P11" t="str">
        <f>VLOOKUP(A11,'[1]2019'!$A$1:$C$22,3,0)</f>
        <v>Penitenciária de Muriaé I</v>
      </c>
      <c r="Q11" t="str">
        <f>VLOOKUP(A11,'[2]2019'!$A$2:$B$24,2,0)</f>
        <v>Penitenciária de Muriaé I</v>
      </c>
      <c r="R11" t="str">
        <f>VLOOKUP(A11,'[3]2019'!$A$2:$B$24,2,0)</f>
        <v>Penitenciária de Muriaé I</v>
      </c>
      <c r="S11" t="str">
        <f>VLOOKUP(A11,'[4]2019'!$A$2:$B$24,2,0)</f>
        <v>Penitenciária de Muriaé I</v>
      </c>
      <c r="T11" t="str">
        <f>VLOOKUP(A11,'[5]2019'!$A$2:$B$24,2,0)</f>
        <v>Penitenciária de Muriaé I</v>
      </c>
      <c r="U11" t="str">
        <f>VLOOKUP(A11,'[6]2019'!$A$1:$B$24,2,0)</f>
        <v>Penitenciária de Muriaé I - doutor martins</v>
      </c>
      <c r="V11" t="str">
        <f>VLOOKUP(A11,'[7]2019'!$A$2:$B$24,2,0)</f>
        <v>Penitenciária de Muriaé I</v>
      </c>
    </row>
    <row r="12" spans="1:22" x14ac:dyDescent="0.25">
      <c r="A12" s="1" t="s">
        <v>50</v>
      </c>
      <c r="B12" s="1" t="s">
        <v>51</v>
      </c>
      <c r="C12" t="s">
        <v>9</v>
      </c>
      <c r="D12">
        <v>31</v>
      </c>
      <c r="E12" t="s">
        <v>3</v>
      </c>
      <c r="F12" t="s">
        <v>52</v>
      </c>
      <c r="G12" t="s">
        <v>53</v>
      </c>
      <c r="H12">
        <v>1</v>
      </c>
      <c r="I12" s="11">
        <v>5809274</v>
      </c>
      <c r="J12" t="s">
        <v>54</v>
      </c>
      <c r="K12" s="1" t="s">
        <v>50</v>
      </c>
      <c r="L12">
        <v>2</v>
      </c>
      <c r="M12">
        <v>74</v>
      </c>
      <c r="N12">
        <v>0</v>
      </c>
      <c r="O12">
        <v>0</v>
      </c>
      <c r="P12" t="str">
        <f>VLOOKUP(A12,'[1]2019'!$A$1:$C$22,3,0)</f>
        <v>Penitenciária de Pará de Minas I - Doutor Pio Soares Canedo</v>
      </c>
      <c r="Q12" t="str">
        <f>VLOOKUP(A12,'[2]2019'!$A$2:$B$24,2,0)</f>
        <v>Penitenciária de Pará de Minas I - Doutor Pio Soares Canedo</v>
      </c>
      <c r="R12" t="str">
        <f>VLOOKUP(A12,'[3]2019'!$A$2:$B$24,2,0)</f>
        <v>Penitenciária de Pará de Minas I - Doutor Pio Soares Canedo</v>
      </c>
      <c r="S12" t="str">
        <f>VLOOKUP(A12,'[4]2019'!$A$2:$B$24,2,0)</f>
        <v>Penitenciária de Pará de Minas I - Doutor Pio Soares Canedo</v>
      </c>
      <c r="T12" t="str">
        <f>VLOOKUP(A12,'[5]2019'!$A$2:$B$24,2,0)</f>
        <v>Penitenciária de Pará de Minas I - Doutor Pio Soares Canedo</v>
      </c>
      <c r="U12" t="str">
        <f>VLOOKUP(A12,'[6]2019'!$A$1:$B$24,2,0)</f>
        <v>Penitenciária de Pará de Minas I - Doutor Pio Soares Canedo</v>
      </c>
      <c r="V12" t="str">
        <f>VLOOKUP(A12,'[7]2019'!$A$2:$B$24,2,0)</f>
        <v>Penitenciária de Pará de Minas I - Doutor Pio Soares Canedo</v>
      </c>
    </row>
    <row r="13" spans="1:22" x14ac:dyDescent="0.25">
      <c r="A13" s="1" t="s">
        <v>55</v>
      </c>
      <c r="B13" s="1" t="s">
        <v>56</v>
      </c>
      <c r="C13" t="s">
        <v>9</v>
      </c>
      <c r="D13">
        <v>31</v>
      </c>
      <c r="E13" t="s">
        <v>3</v>
      </c>
      <c r="F13" t="s">
        <v>57</v>
      </c>
      <c r="G13" t="s">
        <v>58</v>
      </c>
      <c r="H13">
        <v>1</v>
      </c>
      <c r="I13" s="11">
        <v>6828035</v>
      </c>
      <c r="J13" t="s">
        <v>59</v>
      </c>
      <c r="K13" s="1" t="s">
        <v>55</v>
      </c>
      <c r="L13">
        <v>0</v>
      </c>
      <c r="M13">
        <v>74</v>
      </c>
      <c r="N13">
        <v>0</v>
      </c>
      <c r="O13">
        <v>0</v>
      </c>
      <c r="P13" t="str">
        <f>VLOOKUP(A13,'[1]2019'!$A$1:$C$22,3,0)</f>
        <v>Penitenciária de Patrocínio I</v>
      </c>
      <c r="Q13" t="str">
        <f>VLOOKUP(A13,'[2]2019'!$A$2:$B$24,2,0)</f>
        <v>Penitenciária de Patrocínio I</v>
      </c>
      <c r="R13" t="str">
        <f>VLOOKUP(A13,'[3]2019'!$A$2:$B$24,2,0)</f>
        <v>Penitenciária de Patrocínio I</v>
      </c>
      <c r="S13" t="str">
        <f>VLOOKUP(A13,'[4]2019'!$A$2:$B$24,2,0)</f>
        <v>Penitenciária de Patrocínio I</v>
      </c>
      <c r="T13" t="str">
        <f>VLOOKUP(A13,'[5]2019'!$A$2:$B$24,2,0)</f>
        <v>Penitenciária de Patrocínio I</v>
      </c>
      <c r="U13" t="str">
        <f>VLOOKUP(A13,'[6]2019'!$A$1:$B$24,2,0)</f>
        <v>Penitenciária de Patrocínio I - dep. Expedito</v>
      </c>
      <c r="V13" t="str">
        <f>VLOOKUP(A13,'[7]2019'!$A$2:$B$24,2,0)</f>
        <v>Penitenciária de Patrocínio I</v>
      </c>
    </row>
    <row r="14" spans="1:22" x14ac:dyDescent="0.25">
      <c r="A14" s="1" t="s">
        <v>60</v>
      </c>
      <c r="B14" s="1" t="s">
        <v>61</v>
      </c>
      <c r="C14" t="s">
        <v>9</v>
      </c>
      <c r="D14">
        <v>31</v>
      </c>
      <c r="E14" t="s">
        <v>3</v>
      </c>
      <c r="F14" t="s">
        <v>62</v>
      </c>
      <c r="G14" t="s">
        <v>63</v>
      </c>
      <c r="H14">
        <v>1</v>
      </c>
      <c r="I14" s="11">
        <v>7421842</v>
      </c>
      <c r="J14" t="s">
        <v>64</v>
      </c>
      <c r="K14" s="1" t="s">
        <v>60</v>
      </c>
      <c r="L14">
        <v>0</v>
      </c>
      <c r="M14">
        <v>74</v>
      </c>
      <c r="N14">
        <v>0</v>
      </c>
      <c r="O14">
        <v>0</v>
      </c>
      <c r="P14" t="str">
        <f>VLOOKUP(A14,'[1]2019'!$A$1:$C$22,3,0)</f>
        <v>Penitenciária de Ponte Nova I</v>
      </c>
      <c r="Q14" t="str">
        <f>VLOOKUP(A14,'[2]2019'!$A$2:$B$24,2,0)</f>
        <v>Penitenciária de Ponte Nova I</v>
      </c>
      <c r="R14" t="str">
        <f>VLOOKUP(A14,'[3]2019'!$A$2:$B$24,2,0)</f>
        <v>Penitenciária de Ponte Nova I</v>
      </c>
      <c r="S14" t="str">
        <f>VLOOKUP(A14,'[4]2019'!$A$2:$B$24,2,0)</f>
        <v>Penitenciária de Ponte Nova I</v>
      </c>
      <c r="T14" t="str">
        <f>VLOOKUP(A14,'[5]2019'!$A$2:$B$24,2,0)</f>
        <v>Penitenciária de Ponte Nova I</v>
      </c>
      <c r="U14" t="str">
        <f>VLOOKUP(A14,'[6]2019'!$A$1:$B$24,2,0)</f>
        <v>Penitenciária de Ponte Nova I - complexo penit</v>
      </c>
      <c r="V14" t="str">
        <f>VLOOKUP(A14,'[7]2019'!$A$2:$B$24,2,0)</f>
        <v>Penitenciária de Ponte Nova I</v>
      </c>
    </row>
    <row r="15" spans="1:22" x14ac:dyDescent="0.25">
      <c r="A15" s="1" t="s">
        <v>65</v>
      </c>
      <c r="B15" s="1" t="s">
        <v>66</v>
      </c>
      <c r="C15" t="s">
        <v>9</v>
      </c>
      <c r="D15">
        <v>31</v>
      </c>
      <c r="E15" t="s">
        <v>3</v>
      </c>
      <c r="F15" t="s">
        <v>67</v>
      </c>
      <c r="G15" t="s">
        <v>68</v>
      </c>
      <c r="H15">
        <v>1</v>
      </c>
      <c r="I15" s="11">
        <v>2125765</v>
      </c>
      <c r="J15" t="s">
        <v>69</v>
      </c>
      <c r="K15" s="1" t="s">
        <v>65</v>
      </c>
      <c r="L15">
        <v>2</v>
      </c>
      <c r="M15">
        <v>74</v>
      </c>
      <c r="N15">
        <v>0</v>
      </c>
      <c r="O15">
        <v>0</v>
      </c>
      <c r="P15" t="str">
        <f>VLOOKUP(A15,'[1]2019'!$A$1:$C$22,3,0)</f>
        <v>Penitenciária de Ribeirão das Neves I - José Maria Alkimin</v>
      </c>
      <c r="Q15" t="str">
        <f>VLOOKUP(A15,'[2]2019'!$A$2:$B$24,2,0)</f>
        <v>Penitenciária de Ribeirão das Neves I - José Maria Alkimin</v>
      </c>
      <c r="R15" t="str">
        <f>VLOOKUP(A15,'[3]2019'!$A$2:$B$24,2,0)</f>
        <v>Penitenciária de Ribeirão das Neves I - José Maria Alkimin</v>
      </c>
      <c r="S15" t="str">
        <f>VLOOKUP(A15,'[4]2019'!$A$2:$B$24,2,0)</f>
        <v>Penitenciária de Ribeirão das Neves I - José Maria Alkimin</v>
      </c>
      <c r="T15" t="str">
        <f>VLOOKUP(A15,'[5]2019'!$A$2:$B$24,2,0)</f>
        <v>Penitenciária de Ribeirão das Neves I - José Maria Alkimin</v>
      </c>
      <c r="U15" t="str">
        <f>VLOOKUP(A15,'[6]2019'!$A$1:$B$24,2,0)</f>
        <v>Penitenciária de Ribeirão das Neves I - José Maria Alkimin</v>
      </c>
      <c r="V15" t="str">
        <f>VLOOKUP(A15,'[7]2019'!$A$2:$B$24,2,0)</f>
        <v>Penitenciária de Ribeirão das Neves I - José Maria Alkimin</v>
      </c>
    </row>
    <row r="16" spans="1:22" x14ac:dyDescent="0.25">
      <c r="A16" s="1" t="s">
        <v>70</v>
      </c>
      <c r="B16" s="1" t="s">
        <v>71</v>
      </c>
      <c r="C16" t="s">
        <v>9</v>
      </c>
      <c r="D16">
        <v>31</v>
      </c>
      <c r="E16" t="s">
        <v>3</v>
      </c>
      <c r="F16" t="s">
        <v>72</v>
      </c>
      <c r="G16" t="s">
        <v>73</v>
      </c>
      <c r="H16">
        <v>1</v>
      </c>
      <c r="I16" s="11">
        <v>3613291</v>
      </c>
      <c r="J16" t="s">
        <v>74</v>
      </c>
      <c r="K16" s="1" t="s">
        <v>70</v>
      </c>
      <c r="L16">
        <v>0</v>
      </c>
      <c r="M16">
        <v>74</v>
      </c>
      <c r="N16">
        <v>0</v>
      </c>
      <c r="O16">
        <v>0</v>
      </c>
      <c r="P16" t="str">
        <f>VLOOKUP(A16,'[1]2019'!$A$1:$C$22,3,0)</f>
        <v>Penitenciária de São Joaquim de Bicas I - Professor Jason Soares de Albergaria</v>
      </c>
      <c r="Q16" t="str">
        <f>VLOOKUP(A16,'[2]2019'!$A$2:$B$24,2,0)</f>
        <v>Penitenciária de São Joaquim de Bicas I - Professor Jason Soares de Albergaria</v>
      </c>
      <c r="R16" t="str">
        <f>VLOOKUP(A16,'[3]2019'!$A$2:$B$24,2,0)</f>
        <v>Penitenciária de São Joaquim de Bicas I - Professor Jason Soares de Albergaria</v>
      </c>
      <c r="S16" t="str">
        <f>VLOOKUP(A16,'[4]2019'!$A$2:$B$24,2,0)</f>
        <v>Penitenciária de São Joaquim de Bicas I - Professor Jason Soares de Albergaria</v>
      </c>
      <c r="T16" t="str">
        <f>VLOOKUP(A16,'[5]2019'!$A$2:$B$24,2,0)</f>
        <v>Penitenciária de São Joaquim de Bicas I - Professor Jason Soares de Albergaria</v>
      </c>
      <c r="U16" t="str">
        <f>VLOOKUP(A16,'[6]2019'!$A$1:$B$24,2,0)</f>
        <v>Penitenciária de São Joaquim de Bicas I - Professor Jason Soares de Albergaria</v>
      </c>
      <c r="V16" t="str">
        <f>VLOOKUP(A16,'[7]2019'!$A$2:$B$24,2,0)</f>
        <v>Penitenciária de São Joaquim de Bicas I - Professor Jason Soares de Albergaria</v>
      </c>
    </row>
    <row r="17" spans="1:22" x14ac:dyDescent="0.25">
      <c r="A17" s="1" t="s">
        <v>75</v>
      </c>
      <c r="B17" s="1" t="s">
        <v>76</v>
      </c>
      <c r="C17" t="s">
        <v>9</v>
      </c>
      <c r="D17">
        <v>31</v>
      </c>
      <c r="E17" t="s">
        <v>3</v>
      </c>
      <c r="F17" t="s">
        <v>77</v>
      </c>
      <c r="G17" t="s">
        <v>78</v>
      </c>
      <c r="H17">
        <v>1</v>
      </c>
      <c r="I17" s="11">
        <v>3577988</v>
      </c>
      <c r="J17" t="s">
        <v>79</v>
      </c>
      <c r="K17" s="1" t="s">
        <v>75</v>
      </c>
      <c r="L17">
        <v>0</v>
      </c>
      <c r="M17">
        <v>74</v>
      </c>
      <c r="N17">
        <v>0</v>
      </c>
      <c r="O17">
        <v>0</v>
      </c>
      <c r="P17" t="str">
        <f>VLOOKUP(A17,'[1]2019'!$A$1:$C$22,3,0)</f>
        <v>Penitenciária de Segurança Máxima de Francisco Sá I</v>
      </c>
      <c r="Q17" t="str">
        <f>VLOOKUP(A17,'[2]2019'!$A$2:$B$24,2,0)</f>
        <v>Penitenciária de Segurança Máxima de Francisco Sá I</v>
      </c>
      <c r="R17" t="str">
        <f>VLOOKUP(A17,'[3]2019'!$A$2:$B$24,2,0)</f>
        <v>Penitenciária de Segurança Máxima de Francisco Sá I</v>
      </c>
      <c r="S17" t="str">
        <f>VLOOKUP(A17,'[4]2019'!$A$2:$B$24,2,0)</f>
        <v>Penitenciária de Segurança Máxima de Francisco Sá I</v>
      </c>
      <c r="T17" t="str">
        <f>VLOOKUP(A17,'[5]2019'!$A$2:$B$24,2,0)</f>
        <v>Penitenciária de Segurança Máxima de Francisco Sá I</v>
      </c>
      <c r="U17" t="str">
        <f>VLOOKUP(A17,'[6]2019'!$A$1:$B$24,2,0)</f>
        <v>Penitenciária de Segurança Máxima de Francisco Sá I</v>
      </c>
      <c r="V17" t="str">
        <f>VLOOKUP(A17,'[7]2019'!$A$2:$B$24,2,0)</f>
        <v>Penitenciária de Segurança Máxima de Francisco Sá I</v>
      </c>
    </row>
    <row r="18" spans="1:22" x14ac:dyDescent="0.25">
      <c r="A18" s="1" t="s">
        <v>80</v>
      </c>
      <c r="B18" s="1" t="s">
        <v>81</v>
      </c>
      <c r="C18" t="s">
        <v>9</v>
      </c>
      <c r="D18">
        <v>31</v>
      </c>
      <c r="E18" t="s">
        <v>3</v>
      </c>
      <c r="F18" t="s">
        <v>82</v>
      </c>
      <c r="G18" t="s">
        <v>83</v>
      </c>
      <c r="H18">
        <v>0</v>
      </c>
      <c r="J18" t="s">
        <v>84</v>
      </c>
      <c r="K18" s="1" t="s">
        <v>80</v>
      </c>
      <c r="L18">
        <v>0</v>
      </c>
      <c r="M18">
        <v>74</v>
      </c>
      <c r="N18">
        <v>0</v>
      </c>
      <c r="O18">
        <v>0</v>
      </c>
      <c r="P18" t="str">
        <f>VLOOKUP(A18,'[1]2019'!$A$1:$C$22,3,0)</f>
        <v>Penitenciária de Teófilo Otoni I</v>
      </c>
      <c r="Q18" t="str">
        <f>VLOOKUP(A18,'[2]2019'!$A$2:$B$24,2,0)</f>
        <v>Penitenciária de Teófilo Otoni I</v>
      </c>
      <c r="R18" t="str">
        <f>VLOOKUP(A18,'[3]2019'!$A$2:$B$24,2,0)</f>
        <v>Penitenciária de Teófilo Otoni I</v>
      </c>
      <c r="S18" t="str">
        <f>VLOOKUP(A18,'[4]2019'!$A$2:$B$24,2,0)</f>
        <v>Penitenciária de Teófilo Otoni I</v>
      </c>
      <c r="T18" t="str">
        <f>VLOOKUP(A18,'[5]2019'!$A$2:$B$24,2,0)</f>
        <v>Penitenciária de Teófilo Otoni I</v>
      </c>
      <c r="U18" t="str">
        <f>VLOOKUP(A18,'[6]2019'!$A$1:$B$24,2,0)</f>
        <v>Penitenciária de Teófilo Otoni I</v>
      </c>
      <c r="V18" t="str">
        <f>VLOOKUP(A18,'[7]2019'!$A$2:$B$24,2,0)</f>
        <v>Penitenciária de Teófilo Otoni I</v>
      </c>
    </row>
    <row r="19" spans="1:22" x14ac:dyDescent="0.25">
      <c r="A19" s="1" t="s">
        <v>85</v>
      </c>
      <c r="B19" s="1" t="s">
        <v>86</v>
      </c>
      <c r="C19" t="s">
        <v>9</v>
      </c>
      <c r="D19">
        <v>31</v>
      </c>
      <c r="E19" t="s">
        <v>3</v>
      </c>
      <c r="F19" t="s">
        <v>87</v>
      </c>
      <c r="G19" t="s">
        <v>88</v>
      </c>
      <c r="H19">
        <v>0</v>
      </c>
      <c r="J19" t="s">
        <v>89</v>
      </c>
      <c r="K19" s="1" t="s">
        <v>85</v>
      </c>
      <c r="L19">
        <v>2</v>
      </c>
      <c r="M19">
        <v>0</v>
      </c>
      <c r="N19">
        <v>0</v>
      </c>
      <c r="O19">
        <v>0</v>
      </c>
      <c r="P19" t="str">
        <f>VLOOKUP(A19,'[1]2019'!$A$1:$C$22,3,0)</f>
        <v>Penitenciária de Três Corações I</v>
      </c>
      <c r="Q19" t="str">
        <f>VLOOKUP(A19,'[2]2019'!$A$2:$B$24,2,0)</f>
        <v>Penitenciária de Três Corações I</v>
      </c>
      <c r="R19" t="str">
        <f>VLOOKUP(A19,'[3]2019'!$A$2:$B$24,2,0)</f>
        <v>Penitenciária de Três Corações I</v>
      </c>
      <c r="S19" t="str">
        <f>VLOOKUP(A19,'[4]2019'!$A$2:$B$24,2,0)</f>
        <v>Penitenciária de Três Corações I</v>
      </c>
      <c r="T19" t="str">
        <f>VLOOKUP(A19,'[5]2019'!$A$2:$B$24,2,0)</f>
        <v>Penitenciária de Três Corações I</v>
      </c>
      <c r="U19" t="str">
        <f>VLOOKUP(A19,'[6]2019'!$A$1:$B$24,2,0)</f>
        <v>Penitenciária de Três Corações I</v>
      </c>
      <c r="V19" t="str">
        <f>VLOOKUP(A19,'[7]2019'!$A$2:$B$24,2,0)</f>
        <v>Penitenciária de Três Corações I</v>
      </c>
    </row>
    <row r="20" spans="1:22" x14ac:dyDescent="0.25">
      <c r="A20" s="1" t="s">
        <v>90</v>
      </c>
      <c r="B20" s="1" t="s">
        <v>91</v>
      </c>
      <c r="C20" t="s">
        <v>9</v>
      </c>
      <c r="D20">
        <v>31</v>
      </c>
      <c r="E20" t="s">
        <v>3</v>
      </c>
      <c r="F20" t="s">
        <v>92</v>
      </c>
      <c r="G20" t="s">
        <v>93</v>
      </c>
      <c r="H20">
        <v>1</v>
      </c>
      <c r="I20" s="11">
        <v>5984963</v>
      </c>
      <c r="J20" t="s">
        <v>94</v>
      </c>
      <c r="K20" s="1" t="s">
        <v>90</v>
      </c>
      <c r="L20">
        <v>2</v>
      </c>
      <c r="M20">
        <v>74</v>
      </c>
      <c r="N20">
        <v>0</v>
      </c>
      <c r="O20">
        <v>0</v>
      </c>
      <c r="P20" t="str">
        <f>VLOOKUP(A20,'[1]2019'!$A$1:$C$22,3,0)</f>
        <v>Penitenciária de Uberaba I</v>
      </c>
      <c r="Q20" t="str">
        <f>VLOOKUP(A20,'[2]2019'!$A$2:$B$24,2,0)</f>
        <v>Penitenciária de Uberaba I</v>
      </c>
      <c r="R20" t="str">
        <f>VLOOKUP(A20,'[3]2019'!$A$2:$B$24,2,0)</f>
        <v>Penitenciária de Uberaba I</v>
      </c>
      <c r="S20" t="str">
        <f>VLOOKUP(A20,'[4]2019'!$A$2:$B$24,2,0)</f>
        <v>Penitenciária de Uberaba I</v>
      </c>
      <c r="T20" t="str">
        <f>VLOOKUP(A20,'[5]2019'!$A$2:$B$24,2,0)</f>
        <v>Penitenciária de Uberaba I</v>
      </c>
      <c r="U20" t="str">
        <f>VLOOKUP(A20,'[6]2019'!$A$1:$B$24,2,0)</f>
        <v xml:space="preserve">Penitenciária de Uberaba I - PROFESSOR ALUIZIO IGNÁCIO DE OLIVEIRA </v>
      </c>
      <c r="V20" t="str">
        <f>VLOOKUP(A20,'[7]2019'!$A$2:$B$24,2,0)</f>
        <v>Penitenciária de Uberaba I</v>
      </c>
    </row>
    <row r="21" spans="1:22" x14ac:dyDescent="0.25">
      <c r="A21" s="1" t="s">
        <v>95</v>
      </c>
      <c r="B21" s="1" t="s">
        <v>96</v>
      </c>
      <c r="C21" t="s">
        <v>9</v>
      </c>
      <c r="D21">
        <v>31</v>
      </c>
      <c r="E21" t="s">
        <v>3</v>
      </c>
      <c r="F21" t="s">
        <v>97</v>
      </c>
      <c r="G21" t="s">
        <v>98</v>
      </c>
      <c r="H21">
        <v>1</v>
      </c>
      <c r="I21" s="11">
        <v>3894304</v>
      </c>
      <c r="J21" t="s">
        <v>99</v>
      </c>
      <c r="K21" s="1" t="s">
        <v>95</v>
      </c>
      <c r="L21">
        <v>2</v>
      </c>
      <c r="M21">
        <v>0</v>
      </c>
      <c r="N21">
        <v>0</v>
      </c>
      <c r="O21">
        <v>0</v>
      </c>
      <c r="P21" t="str">
        <f>VLOOKUP(A21,'[1]2019'!$A$1:$C$22,3,0)</f>
        <v>Penitenciária de Uberlândia I - Professor João Pimenta Da Veiga</v>
      </c>
      <c r="Q21" t="str">
        <f>VLOOKUP(A21,'[2]2019'!$A$2:$B$24,2,0)</f>
        <v>Penitenciária de Uberlândia I - Professor João Pimenta Da Veiga</v>
      </c>
      <c r="R21" t="str">
        <f>VLOOKUP(A21,'[3]2019'!$A$2:$B$24,2,0)</f>
        <v>Penitenciária de Uberlândia I - Professor João Pimenta Da Veiga</v>
      </c>
      <c r="S21" t="str">
        <f>VLOOKUP(A21,'[4]2019'!$A$2:$B$24,2,0)</f>
        <v>Penitenciária de Uberlândia I - Professor João Pimenta Da Veiga</v>
      </c>
      <c r="T21" t="str">
        <f>VLOOKUP(A21,'[5]2019'!$A$2:$B$24,2,0)</f>
        <v>Penitenciária de Uberlândia I - Professor João Pimenta Da Veiga</v>
      </c>
      <c r="U21" t="str">
        <f>VLOOKUP(A21,'[6]2019'!$A$1:$B$24,2,0)</f>
        <v>Penitenciária de Uberlândia I - Professor João Pimenta Da Veiga</v>
      </c>
      <c r="V21" t="str">
        <f>VLOOKUP(A21,'[7]2019'!$A$2:$B$24,2,0)</f>
        <v>Penitenciária de Uberlândia I - Professor João Pimenta Da Veiga</v>
      </c>
    </row>
    <row r="22" spans="1:22" x14ac:dyDescent="0.25">
      <c r="A22" s="1" t="s">
        <v>100</v>
      </c>
      <c r="B22" s="1" t="s">
        <v>101</v>
      </c>
      <c r="C22" t="s">
        <v>9</v>
      </c>
      <c r="D22">
        <v>31</v>
      </c>
      <c r="E22" t="s">
        <v>3</v>
      </c>
      <c r="F22" t="s">
        <v>102</v>
      </c>
      <c r="G22" t="s">
        <v>103</v>
      </c>
      <c r="H22">
        <v>0</v>
      </c>
      <c r="J22" t="s">
        <v>104</v>
      </c>
      <c r="K22" s="1" t="s">
        <v>100</v>
      </c>
      <c r="L22">
        <v>2</v>
      </c>
      <c r="M22">
        <v>0</v>
      </c>
      <c r="N22">
        <v>0</v>
      </c>
      <c r="O22">
        <v>0</v>
      </c>
      <c r="P22" t="str">
        <f>VLOOKUP(A22,'[1]2019'!$A$1:$C$22,3,0)</f>
        <v>Penitenciária de Unaí I - Agostinho de Oliveira Júnior</v>
      </c>
      <c r="Q22" t="str">
        <f>VLOOKUP(A22,'[2]2019'!$A$2:$B$24,2,0)</f>
        <v>Penitenciária de Unaí I - Agostinho de Oliveira Júnior</v>
      </c>
      <c r="R22" t="str">
        <f>VLOOKUP(A22,'[3]2019'!$A$2:$B$24,2,0)</f>
        <v>Penitenciária de Unaí I - Agostinho de Oliveira Júnior</v>
      </c>
      <c r="S22" t="str">
        <f>VLOOKUP(A22,'[4]2019'!$A$2:$B$24,2,0)</f>
        <v>Penitenciária de Unaí I - Agostinho de Oliveira Júnior</v>
      </c>
      <c r="T22" t="str">
        <f>VLOOKUP(A22,'[5]2019'!$A$2:$B$24,2,0)</f>
        <v>Penitenciária de Unaí I - Agostinho de Oliveira Júnior</v>
      </c>
      <c r="U22" t="str">
        <f>VLOOKUP(A22,'[6]2019'!$A$1:$B$24,2,0)</f>
        <v>Penitenciária de Unaí I - Agostinho de Oliveira Júnior</v>
      </c>
      <c r="V22" t="str">
        <f>VLOOKUP(A22,'[7]2019'!$A$2:$B$24,2,0)</f>
        <v>Penitenciária de Unaí I - Agostinho de Oliveira Júnior</v>
      </c>
    </row>
    <row r="23" spans="1:22" x14ac:dyDescent="0.25">
      <c r="A23" s="1" t="s">
        <v>105</v>
      </c>
      <c r="B23" s="1" t="s">
        <v>106</v>
      </c>
      <c r="C23" t="s">
        <v>9</v>
      </c>
      <c r="D23">
        <v>31</v>
      </c>
      <c r="E23" t="s">
        <v>3</v>
      </c>
      <c r="F23" t="s">
        <v>67</v>
      </c>
      <c r="G23" t="s">
        <v>68</v>
      </c>
      <c r="H23">
        <v>1</v>
      </c>
      <c r="I23" s="9" t="s">
        <v>107</v>
      </c>
      <c r="J23" t="s">
        <v>108</v>
      </c>
      <c r="K23" s="1" t="s">
        <v>105</v>
      </c>
      <c r="L23">
        <v>0</v>
      </c>
      <c r="M23">
        <v>74</v>
      </c>
      <c r="N23">
        <v>0</v>
      </c>
      <c r="O23">
        <v>2</v>
      </c>
      <c r="P23" t="e">
        <f>VLOOKUP(A23,'[1]2019'!$A$1:$C$22,3,0)</f>
        <v>#N/A</v>
      </c>
      <c r="Q23" t="str">
        <f>VLOOKUP(A23,'[2]2019'!$A$2:$B$24,2,0)</f>
        <v>Complexo Público Privado de Ribeirão das Neves I</v>
      </c>
      <c r="R23" t="str">
        <f>VLOOKUP(A23,'[3]2019'!$A$2:$B$24,2,0)</f>
        <v>Complexo Público Privado de Ribeirão das Neves I</v>
      </c>
      <c r="S23" t="str">
        <f>VLOOKUP(A23,'[4]2019'!$A$2:$B$24,2,0)</f>
        <v>Complexo Público Privado de Ribeirão das Neves I</v>
      </c>
      <c r="T23" t="str">
        <f>VLOOKUP(A23,'[5]2019'!$A$2:$B$24,2,0)</f>
        <v>Complexo Público Privado de Ribeirão das Neves I</v>
      </c>
      <c r="U23" t="str">
        <f>VLOOKUP(A23,'[6]2019'!$A$1:$B$24,2,0)</f>
        <v>Complexo Público Privado de Ribeirão das Neves I</v>
      </c>
      <c r="V23" t="str">
        <f>VLOOKUP(A23,'[7]2019'!$A$2:$B$24,2,0)</f>
        <v>Complexo Público Privado de Ribeirão das Neves I</v>
      </c>
    </row>
    <row r="24" spans="1:22" x14ac:dyDescent="0.25">
      <c r="A24" s="1" t="s">
        <v>109</v>
      </c>
      <c r="B24" s="1" t="s">
        <v>110</v>
      </c>
      <c r="C24" t="s">
        <v>9</v>
      </c>
      <c r="D24">
        <v>31</v>
      </c>
      <c r="E24" t="s">
        <v>3</v>
      </c>
      <c r="F24" t="s">
        <v>67</v>
      </c>
      <c r="G24" t="s">
        <v>68</v>
      </c>
      <c r="H24">
        <v>1</v>
      </c>
      <c r="I24" s="9" t="s">
        <v>107</v>
      </c>
      <c r="J24" t="s">
        <v>111</v>
      </c>
      <c r="K24" s="1" t="s">
        <v>109</v>
      </c>
      <c r="L24">
        <v>0</v>
      </c>
      <c r="M24">
        <v>74</v>
      </c>
      <c r="N24">
        <v>0</v>
      </c>
      <c r="O24">
        <v>2</v>
      </c>
      <c r="P24" t="e">
        <f>VLOOKUP(A24,'[1]2019'!$A$1:$C$22,3,0)</f>
        <v>#N/A</v>
      </c>
      <c r="Q24" t="str">
        <f>VLOOKUP(A24,'[2]2019'!$A$2:$B$24,2,0)</f>
        <v>Complexo Público Privado de Ribeirão das Neves II</v>
      </c>
      <c r="R24" t="str">
        <f>VLOOKUP(A24,'[3]2019'!$A$2:$B$24,2,0)</f>
        <v>Complexo Público Privado de Ribeirão das Neves II</v>
      </c>
      <c r="S24" t="str">
        <f>VLOOKUP(A24,'[4]2019'!$A$2:$B$24,2,0)</f>
        <v>Complexo Público Privado de Ribeirão das Neves II</v>
      </c>
      <c r="T24" t="str">
        <f>VLOOKUP(A24,'[5]2019'!$A$2:$B$24,2,0)</f>
        <v>Complexo Público Privado de Ribeirão das Neves II</v>
      </c>
      <c r="U24" t="str">
        <f>VLOOKUP(A24,'[6]2019'!$A$1:$B$24,2,0)</f>
        <v>Complexo Público Privado de Ribeirão das Neves II</v>
      </c>
      <c r="V24" t="str">
        <f>VLOOKUP(A24,'[7]2019'!$A$2:$B$24,2,0)</f>
        <v>Complexo Público Privado de Ribeirão das Neves II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5F84A-0B7B-49DA-825C-0223B368F9D4}">
  <dimension ref="A1:V24"/>
  <sheetViews>
    <sheetView topLeftCell="A2" workbookViewId="0">
      <selection activeCell="I12" sqref="I12"/>
    </sheetView>
  </sheetViews>
  <sheetFormatPr defaultRowHeight="15" x14ac:dyDescent="0.25"/>
  <cols>
    <col min="1" max="1" width="19.42578125" bestFit="1" customWidth="1"/>
    <col min="2" max="2" width="9.140625" style="6"/>
    <col min="3" max="3" width="16.85546875" bestFit="1" customWidth="1"/>
    <col min="4" max="4" width="10.5703125" bestFit="1" customWidth="1"/>
    <col min="5" max="9" width="14.28515625" bestFit="1" customWidth="1"/>
    <col min="10" max="10" width="13.28515625" bestFit="1" customWidth="1"/>
    <col min="11" max="11" width="16.85546875" bestFit="1" customWidth="1"/>
    <col min="12" max="12" width="15.85546875" bestFit="1" customWidth="1"/>
    <col min="13" max="13" width="16.85546875" bestFit="1" customWidth="1"/>
    <col min="14" max="14" width="14.28515625" bestFit="1" customWidth="1"/>
    <col min="15" max="15" width="13.28515625" bestFit="1" customWidth="1"/>
    <col min="16" max="16" width="15.85546875" bestFit="1" customWidth="1"/>
    <col min="17" max="19" width="14.28515625" bestFit="1" customWidth="1"/>
    <col min="20" max="20" width="16.85546875" bestFit="1" customWidth="1"/>
    <col min="21" max="21" width="14.28515625" bestFit="1" customWidth="1"/>
    <col min="22" max="22" width="10.5703125" bestFit="1" customWidth="1"/>
  </cols>
  <sheetData>
    <row r="1" spans="1:22" ht="216" customHeight="1" x14ac:dyDescent="0.25">
      <c r="A1" s="1" t="s">
        <v>112</v>
      </c>
      <c r="B1" s="6" t="s">
        <v>150</v>
      </c>
      <c r="C1" s="5" t="s">
        <v>132</v>
      </c>
      <c r="D1" s="3" t="s">
        <v>145</v>
      </c>
      <c r="E1" s="3" t="s">
        <v>146</v>
      </c>
      <c r="F1" s="3" t="s">
        <v>147</v>
      </c>
      <c r="G1" s="3" t="s">
        <v>148</v>
      </c>
      <c r="H1" s="3" t="s">
        <v>136</v>
      </c>
      <c r="I1" s="4" t="s">
        <v>126</v>
      </c>
      <c r="J1" s="4" t="s">
        <v>127</v>
      </c>
      <c r="K1" s="4" t="s">
        <v>137</v>
      </c>
      <c r="L1" s="4" t="s">
        <v>138</v>
      </c>
      <c r="M1" s="4" t="s">
        <v>139</v>
      </c>
      <c r="N1" s="4" t="s">
        <v>128</v>
      </c>
      <c r="O1" s="4" t="s">
        <v>149</v>
      </c>
      <c r="P1" s="4" t="s">
        <v>141</v>
      </c>
      <c r="Q1" s="4" t="s">
        <v>129</v>
      </c>
      <c r="R1" s="4" t="s">
        <v>130</v>
      </c>
      <c r="S1" s="4" t="s">
        <v>131</v>
      </c>
      <c r="T1" s="7" t="s">
        <v>151</v>
      </c>
      <c r="U1" s="7" t="s">
        <v>152</v>
      </c>
      <c r="V1" s="7" t="s">
        <v>153</v>
      </c>
    </row>
    <row r="2" spans="1:22" x14ac:dyDescent="0.25">
      <c r="A2" s="1" t="s">
        <v>0</v>
      </c>
      <c r="B2" s="6">
        <v>1178.5</v>
      </c>
      <c r="C2" s="2">
        <f>VLOOKUP(A2,'[1]2019'!$A$2:$D$22,4,0)</f>
        <v>7301291.200000002</v>
      </c>
      <c r="D2" s="2"/>
      <c r="E2" s="2"/>
      <c r="F2" s="2">
        <f>VLOOKUP(A2,'[3]2019'!$A$2:$H$24,8,0)</f>
        <v>16268.52</v>
      </c>
      <c r="G2" s="2">
        <f>VLOOKUP(A2,'[3]2019'!$A$2:$I$24,9,0)</f>
        <v>16323.08</v>
      </c>
      <c r="H2" s="2">
        <f>VLOOKUP(A2,'[6]2019'!$A$2:$E$24,5,0)</f>
        <v>2731.34</v>
      </c>
      <c r="I2" s="2">
        <f>VLOOKUP(A2,'[2]2019'!$A$2:$C$24,3,0)</f>
        <v>3366.9500000000003</v>
      </c>
      <c r="J2" s="2">
        <f>VLOOKUP(A2,'[2]2019'!$A$2:$I$24,4,0)</f>
        <v>19487.180000000008</v>
      </c>
      <c r="K2" s="2">
        <f>VLOOKUP(A2,'[5]2019'!$A$2:$M$24,13,0)</f>
        <v>0</v>
      </c>
      <c r="L2" s="2">
        <f>VLOOKUP(A2,'[2]2019'!$A$2:$E$24,5,0)</f>
        <v>0</v>
      </c>
      <c r="M2" s="2">
        <f>VLOOKUP(A2,'[3]2019'!$A$2:$O$24,15,0)</f>
        <v>13440</v>
      </c>
      <c r="N2" s="2">
        <f>VLOOKUP(A2,'[2]2019'!$A$2:$F$24,6,0)</f>
        <v>0</v>
      </c>
      <c r="O2" s="2" t="str">
        <f>VLOOKUP(A2,'[7]2019'!$A$2:$C$24,3,0)</f>
        <v xml:space="preserve"> R$ -   </v>
      </c>
      <c r="P2" s="2">
        <f>VLOOKUP(A2,'[4]2019'!$A$2:$R$24,18,0)</f>
        <v>0</v>
      </c>
      <c r="Q2" s="2">
        <f>VLOOKUP(A2,'[2]2019'!$A$2:$G$2,7,0)</f>
        <v>1771.3899999999999</v>
      </c>
      <c r="R2" s="2">
        <f>VLOOKUP(A2,'[2]2019'!$A$2:$H$24,8,0)</f>
        <v>0</v>
      </c>
      <c r="S2" s="2">
        <f>VLOOKUP(A2,'[2]2019'!$A$2:$I$24,9,0)</f>
        <v>0</v>
      </c>
      <c r="T2" s="8">
        <f>SUM(C2:S2)</f>
        <v>7374679.6600000011</v>
      </c>
      <c r="U2" s="8">
        <f>T2/B2</f>
        <v>6257.6832074671202</v>
      </c>
      <c r="V2" s="8">
        <f>U2/365</f>
        <v>17.144337554704439</v>
      </c>
    </row>
    <row r="3" spans="1:22" x14ac:dyDescent="0.25">
      <c r="A3" s="1" t="s">
        <v>7</v>
      </c>
      <c r="B3" s="6">
        <f>VLOOKUP(A3,[8]Ocupação!$E$4:$F$25,2,0)</f>
        <v>433.08333333333331</v>
      </c>
      <c r="C3" s="2">
        <f>VLOOKUP(A3,'[1]2019'!$A$2:$D$22,4,0)</f>
        <v>15251488.219999958</v>
      </c>
      <c r="D3" s="2"/>
      <c r="E3" s="2"/>
      <c r="F3" s="2">
        <f>VLOOKUP(A3,'[3]2019'!$A$2:$H$24,8,0)</f>
        <v>204786.39</v>
      </c>
      <c r="G3" s="2">
        <f>VLOOKUP(A3,'[3]2019'!$A$2:$I$24,9,0)</f>
        <v>26095.83</v>
      </c>
      <c r="H3" s="2">
        <f>VLOOKUP(A3,'[6]2019'!$A$2:$E$24,5,0)</f>
        <v>11100.690000000002</v>
      </c>
      <c r="I3" s="2">
        <f>VLOOKUP(A3,'[2]2019'!$A$2:$C$24,3,0)</f>
        <v>26063.440000000006</v>
      </c>
      <c r="J3" s="2">
        <f>VLOOKUP(A3,'[2]2019'!$A$2:$I$24,4,0)</f>
        <v>10272.809999999998</v>
      </c>
      <c r="K3" s="2">
        <f>VLOOKUP(A3,'[5]2019'!$A$2:$M$24,13,0)</f>
        <v>399202.72</v>
      </c>
      <c r="L3" s="2">
        <f>VLOOKUP(A3,'[2]2019'!$A$2:$E$24,5,0)</f>
        <v>0</v>
      </c>
      <c r="M3" s="2">
        <f>VLOOKUP(A3,'[3]2019'!$A$2:$O$24,15,0)</f>
        <v>0</v>
      </c>
      <c r="N3" s="2">
        <f>VLOOKUP(A3,'[2]2019'!$A$2:$F$24,6,0)</f>
        <v>219481.71999999997</v>
      </c>
      <c r="O3" s="2">
        <f>VLOOKUP(A3,'[7]2019'!$A$2:$C$24,3,0)</f>
        <v>2000</v>
      </c>
      <c r="P3" s="2">
        <f>VLOOKUP(A3,'[4]2019'!$A$2:$R$24,18,0)</f>
        <v>1940520.69</v>
      </c>
      <c r="Q3" s="2">
        <f>VLOOKUP(A3,'[2]2019'!$A$2:$G$24,7,0)</f>
        <v>62096.020000000019</v>
      </c>
      <c r="R3" s="2">
        <f>VLOOKUP(A3,'[2]2019'!$A$2:$H$24,8,0)</f>
        <v>54211.029999999992</v>
      </c>
      <c r="S3" s="2">
        <f>VLOOKUP(A3,'[2]2019'!$A$2:$I$24,9,0)</f>
        <v>88686.64</v>
      </c>
      <c r="T3" s="8">
        <f t="shared" ref="T3:T24" si="0">SUM(C3:S3)</f>
        <v>18296006.199999962</v>
      </c>
      <c r="U3" s="8">
        <f t="shared" ref="U3:U24" si="1">T3/B3</f>
        <v>42245.925418510597</v>
      </c>
      <c r="V3" s="8">
        <f t="shared" ref="V3:V24" si="2">U3/365</f>
        <v>115.74226142057698</v>
      </c>
    </row>
    <row r="4" spans="1:22" x14ac:dyDescent="0.25">
      <c r="A4" s="1" t="s">
        <v>11</v>
      </c>
      <c r="B4" s="6">
        <f>VLOOKUP(A4,[8]Ocupação!$E$4:$F$25,2,0)</f>
        <v>636.5</v>
      </c>
      <c r="C4" s="2">
        <f>VLOOKUP(A4,'[1]2019'!$A$2:$D$22,4,0)</f>
        <v>12500357.49000006</v>
      </c>
      <c r="D4" s="2"/>
      <c r="E4" s="2"/>
      <c r="F4" s="2">
        <f>VLOOKUP(A4,'[3]2019'!$A$2:$H$24,8,0)</f>
        <v>5705.48</v>
      </c>
      <c r="G4" s="2">
        <f>VLOOKUP(A4,'[3]2019'!$A$2:$I$24,9,0)</f>
        <v>18866.759999999998</v>
      </c>
      <c r="H4" s="2">
        <f>VLOOKUP(A4,'[6]2019'!$A$2:$E$24,5,0)</f>
        <v>2362.98</v>
      </c>
      <c r="I4" s="2">
        <f>VLOOKUP(A4,'[2]2019'!$A$2:$C$24,3,0)</f>
        <v>28565.100000000002</v>
      </c>
      <c r="J4" s="2">
        <f>VLOOKUP(A4,'[2]2019'!$A$2:$I$24,4,0)</f>
        <v>7807.2300000000005</v>
      </c>
      <c r="K4" s="2">
        <f>VLOOKUP(A4,'[5]2019'!$A$2:$M$24,13,0)</f>
        <v>0</v>
      </c>
      <c r="L4" s="2">
        <f>VLOOKUP(A4,'[2]2019'!$A$2:$E$24,5,0)</f>
        <v>0</v>
      </c>
      <c r="M4" s="2">
        <f>VLOOKUP(A4,'[3]2019'!$A$2:$O$24,15,0)</f>
        <v>6720</v>
      </c>
      <c r="N4" s="2">
        <f>VLOOKUP(A4,'[2]2019'!$A$2:$F$24,6,0)</f>
        <v>87119.23</v>
      </c>
      <c r="O4" s="2">
        <f>VLOOKUP(A4,'[7]2019'!$A$2:$C$24,3,0)</f>
        <v>2000</v>
      </c>
      <c r="P4" s="2">
        <f>VLOOKUP(A4,'[4]2019'!$A$2:$R$24,18,0)</f>
        <v>2557208.8000000003</v>
      </c>
      <c r="Q4" s="2">
        <f>VLOOKUP(A4,'[2]2019'!$A$2:$G$24,7,0)</f>
        <v>27204.249999999996</v>
      </c>
      <c r="R4" s="2">
        <f>VLOOKUP(A4,'[2]2019'!$A$2:$H$24,8,0)</f>
        <v>100179.15</v>
      </c>
      <c r="S4" s="2">
        <f>VLOOKUP(A4,'[2]2019'!$A$2:$I$24,9,0)</f>
        <v>38450.640000000007</v>
      </c>
      <c r="T4" s="8">
        <f t="shared" si="0"/>
        <v>15382547.110000063</v>
      </c>
      <c r="U4" s="8">
        <f t="shared" si="1"/>
        <v>24167.395302435292</v>
      </c>
      <c r="V4" s="8">
        <f t="shared" si="2"/>
        <v>66.212041924480246</v>
      </c>
    </row>
    <row r="5" spans="1:22" x14ac:dyDescent="0.25">
      <c r="A5" s="1" t="s">
        <v>16</v>
      </c>
      <c r="B5" s="6">
        <f>VLOOKUP(A5,[8]Ocupação!$E$4:$F$25,2,0)</f>
        <v>2042.25</v>
      </c>
      <c r="C5" s="2">
        <f>VLOOKUP(A5,'[1]2019'!$A$2:$D$22,4,0)</f>
        <v>46906685.900001235</v>
      </c>
      <c r="D5" s="2"/>
      <c r="E5" s="2"/>
      <c r="F5" s="2">
        <f>VLOOKUP(A5,'[3]2019'!$A$2:$H$24,8,0)</f>
        <v>195039.15</v>
      </c>
      <c r="G5" s="2">
        <f>VLOOKUP(A5,'[3]2019'!$A$2:$I$24,9,0)</f>
        <v>24452.34</v>
      </c>
      <c r="H5" s="2">
        <f>VLOOKUP(A5,'[6]2019'!$A$2:$E$24,5,0)</f>
        <v>279735.06</v>
      </c>
      <c r="I5" s="2">
        <f>VLOOKUP(A5,'[2]2019'!$A$2:$C$24,3,0)</f>
        <v>63405.899999999994</v>
      </c>
      <c r="J5" s="2">
        <f>VLOOKUP(A5,'[2]2019'!$A$2:$I$24,4,0)</f>
        <v>20766.849999999995</v>
      </c>
      <c r="K5" s="2">
        <f>VLOOKUP(A5,'[5]2019'!$A$2:$M$24,13,0)</f>
        <v>170457.99</v>
      </c>
      <c r="L5" s="2">
        <f>VLOOKUP(A5,'[2]2019'!$A$2:$E$24,5,0)</f>
        <v>0</v>
      </c>
      <c r="M5" s="2">
        <f>VLOOKUP(A5,'[3]2019'!$A$2:$O$24,15,0)</f>
        <v>13320</v>
      </c>
      <c r="N5" s="2">
        <f>VLOOKUP(A5,'[2]2019'!$A$2:$F$24,6,0)</f>
        <v>678155.77</v>
      </c>
      <c r="O5" s="2">
        <f>VLOOKUP(A5,'[7]2019'!$A$2:$C$24,3,0)</f>
        <v>15000</v>
      </c>
      <c r="P5" s="2">
        <f>VLOOKUP(A5,'[4]2019'!$A$2:$R$24,18,0)</f>
        <v>8333730.0700000003</v>
      </c>
      <c r="Q5" s="2">
        <f>VLOOKUP(A5,'[2]2019'!$A$2:$G$24,7,0)</f>
        <v>119650.76999999999</v>
      </c>
      <c r="R5" s="2">
        <f>VLOOKUP(A5,'[2]2019'!$A$2:$H$24,8,0)</f>
        <v>339662.92</v>
      </c>
      <c r="S5" s="2">
        <f>VLOOKUP(A5,'[2]2019'!$A$2:$I$24,9,0)</f>
        <v>92406.01</v>
      </c>
      <c r="T5" s="8">
        <f t="shared" si="0"/>
        <v>57252468.730001248</v>
      </c>
      <c r="U5" s="8">
        <f t="shared" si="1"/>
        <v>28034.015781614027</v>
      </c>
      <c r="V5" s="8">
        <f t="shared" si="2"/>
        <v>76.805522689353495</v>
      </c>
    </row>
    <row r="6" spans="1:22" x14ac:dyDescent="0.25">
      <c r="A6" s="1" t="s">
        <v>21</v>
      </c>
      <c r="B6" s="6">
        <f>VLOOKUP(A6,[8]Ocupação!$E$4:$F$25,2,0)</f>
        <v>835</v>
      </c>
      <c r="C6" s="2">
        <f>VLOOKUP(A6,'[1]2019'!$A$2:$D$22,4,0)</f>
        <v>14076042.719999971</v>
      </c>
      <c r="D6" s="2"/>
      <c r="E6" s="2"/>
      <c r="F6" s="2">
        <f>VLOOKUP(A6,'[3]2019'!$A$2:$H$24,8,0)</f>
        <v>5504.04</v>
      </c>
      <c r="G6" s="2">
        <f>VLOOKUP(A6,'[3]2019'!$A$2:$I$24,9,0)</f>
        <v>14456.44</v>
      </c>
      <c r="H6" s="2">
        <f>VLOOKUP(A6,'[6]2019'!$A$2:$E$24,5,0)</f>
        <v>8535.7499999999945</v>
      </c>
      <c r="I6" s="2">
        <f>VLOOKUP(A6,'[2]2019'!$A$2:$C$24,3,0)</f>
        <v>29975.479999999996</v>
      </c>
      <c r="J6" s="2">
        <f>VLOOKUP(A6,'[2]2019'!$A$2:$I$24,4,0)</f>
        <v>9624.1299999999974</v>
      </c>
      <c r="K6" s="2">
        <f>VLOOKUP(A6,'[5]2019'!$A$2:$M$24,13,0)</f>
        <v>0</v>
      </c>
      <c r="L6" s="2">
        <f>VLOOKUP(A6,'[2]2019'!$A$2:$E$24,5,0)</f>
        <v>0</v>
      </c>
      <c r="M6" s="2">
        <f>VLOOKUP(A6,'[3]2019'!$A$2:$O$24,15,0)</f>
        <v>6720</v>
      </c>
      <c r="N6" s="2">
        <f>VLOOKUP(A6,'[2]2019'!$A$2:$F$24,6,0)</f>
        <v>174957.19999999998</v>
      </c>
      <c r="O6" s="2">
        <f>VLOOKUP(A6,'[7]2019'!$A$2:$C$24,3,0)</f>
        <v>2000</v>
      </c>
      <c r="P6" s="2">
        <f>VLOOKUP(A6,'[4]2019'!$A$2:$R$24,18,0)</f>
        <v>3959235.52</v>
      </c>
      <c r="Q6" s="2">
        <f>VLOOKUP(A6,'[2]2019'!$A$2:$G$24,7,0)</f>
        <v>31072.780000000006</v>
      </c>
      <c r="R6" s="2">
        <f>VLOOKUP(A6,'[2]2019'!$A$2:$H$24,8,0)</f>
        <v>233983.66</v>
      </c>
      <c r="S6" s="2">
        <f>VLOOKUP(A6,'[2]2019'!$A$2:$I$24,9,0)</f>
        <v>53964.820000000007</v>
      </c>
      <c r="T6" s="8">
        <f t="shared" si="0"/>
        <v>18606072.539999973</v>
      </c>
      <c r="U6" s="8">
        <f t="shared" si="1"/>
        <v>22282.721604790386</v>
      </c>
      <c r="V6" s="8">
        <f t="shared" si="2"/>
        <v>61.048552341891465</v>
      </c>
    </row>
    <row r="7" spans="1:22" x14ac:dyDescent="0.25">
      <c r="A7" s="1" t="s">
        <v>26</v>
      </c>
      <c r="B7" s="6">
        <f>VLOOKUP(A7,[8]Ocupação!$E$4:$F$25,2,0)</f>
        <v>1284</v>
      </c>
      <c r="C7" s="2">
        <f>VLOOKUP(A7,'[1]2019'!$A$2:$D$22,4,0)</f>
        <v>22983018.709999703</v>
      </c>
      <c r="D7" s="2"/>
      <c r="E7" s="2"/>
      <c r="F7" s="2">
        <f>VLOOKUP(A7,'[3]2019'!$A$2:$H$24,8,0)</f>
        <v>208799.88</v>
      </c>
      <c r="G7" s="2">
        <f>VLOOKUP(A7,'[3]2019'!$A$2:$I$24,9,0)</f>
        <v>25177.85</v>
      </c>
      <c r="H7" s="2">
        <f>VLOOKUP(A7,'[6]2019'!$A$2:$E$24,5,0)</f>
        <v>26442.399999999998</v>
      </c>
      <c r="I7" s="2">
        <f>VLOOKUP(A7,'[2]2019'!$A$2:$C$24,3,0)</f>
        <v>39224.319999999992</v>
      </c>
      <c r="J7" s="2">
        <f>VLOOKUP(A7,'[2]2019'!$A$2:$I$24,4,0)</f>
        <v>10468.27</v>
      </c>
      <c r="K7" s="2">
        <f>VLOOKUP(A7,'[5]2019'!$A$2:$M$24,13,0)</f>
        <v>7060.2</v>
      </c>
      <c r="L7" s="2">
        <f>VLOOKUP(A7,'[2]2019'!$A$2:$E$24,5,0)</f>
        <v>0</v>
      </c>
      <c r="M7" s="2">
        <f>VLOOKUP(A7,'[3]2019'!$A$2:$O$24,15,0)</f>
        <v>0</v>
      </c>
      <c r="N7" s="2">
        <f>VLOOKUP(A7,'[2]2019'!$A$2:$F$24,6,0)</f>
        <v>221778.83000000005</v>
      </c>
      <c r="O7" s="2">
        <f>VLOOKUP(A7,'[7]2019'!$A$2:$C$24,3,0)</f>
        <v>3000</v>
      </c>
      <c r="P7" s="2">
        <f>VLOOKUP(A7,'[4]2019'!$A$2:$R$24,18,0)</f>
        <v>5215089.8100000005</v>
      </c>
      <c r="Q7" s="2">
        <f>VLOOKUP(A7,'[2]2019'!$A$2:$G$24,7,0)</f>
        <v>33252.75</v>
      </c>
      <c r="R7" s="2">
        <f>VLOOKUP(A7,'[2]2019'!$A$2:$H$24,8,0)</f>
        <v>285142.10000000003</v>
      </c>
      <c r="S7" s="2">
        <f>VLOOKUP(A7,'[2]2019'!$A$2:$I$24,9,0)</f>
        <v>62290.769999999982</v>
      </c>
      <c r="T7" s="8">
        <f t="shared" si="0"/>
        <v>29120745.889999699</v>
      </c>
      <c r="U7" s="8">
        <f t="shared" si="1"/>
        <v>22679.708637071417</v>
      </c>
      <c r="V7" s="8">
        <f t="shared" si="2"/>
        <v>62.136188046771004</v>
      </c>
    </row>
    <row r="8" spans="1:22" x14ac:dyDescent="0.25">
      <c r="A8" s="1" t="s">
        <v>31</v>
      </c>
      <c r="B8" s="6">
        <f>VLOOKUP(A8,[8]Ocupação!$E$4:$F$25,2,0)</f>
        <v>1365.8333333333333</v>
      </c>
      <c r="C8" s="2">
        <f>VLOOKUP(A8,'[1]2019'!$A$2:$D$22,4,0)</f>
        <v>18396286.289999738</v>
      </c>
      <c r="D8" s="2"/>
      <c r="E8" s="2"/>
      <c r="F8" s="2">
        <f>VLOOKUP(A8,'[3]2019'!$A$2:$H$24,8,0)</f>
        <v>203227.78</v>
      </c>
      <c r="G8" s="2">
        <f>VLOOKUP(A8,'[3]2019'!$A$2:$I$24,9,0)</f>
        <v>17957.04</v>
      </c>
      <c r="H8" s="2">
        <f>VLOOKUP(A8,'[6]2019'!$A$2:$E$24,5,0)</f>
        <v>285600</v>
      </c>
      <c r="I8" s="2">
        <f>VLOOKUP(A8,'[2]2019'!$A$2:$C$24,3,0)</f>
        <v>37473.9</v>
      </c>
      <c r="J8" s="2">
        <f>VLOOKUP(A8,'[2]2019'!$A$2:$I$24,4,0)</f>
        <v>6235.3</v>
      </c>
      <c r="K8" s="2">
        <f>VLOOKUP(A8,'[5]2019'!$A$2:$M$24,13,0)</f>
        <v>44708.11</v>
      </c>
      <c r="L8" s="2">
        <f>VLOOKUP(A8,'[2]2019'!$A$2:$E$24,5,0)</f>
        <v>0</v>
      </c>
      <c r="M8" s="2">
        <f>VLOOKUP(A8,'[3]2019'!$A$2:$O$24,15,0)</f>
        <v>6720</v>
      </c>
      <c r="N8" s="2">
        <f>VLOOKUP(A8,'[2]2019'!$A$2:$F$24,6,0)</f>
        <v>129435.45999999999</v>
      </c>
      <c r="O8" s="2">
        <f>VLOOKUP(A8,'[7]2019'!$A$2:$C$24,3,0)</f>
        <v>12000</v>
      </c>
      <c r="P8" s="2">
        <f>VLOOKUP(A8,'[4]2019'!$A$2:$R$24,18,0)</f>
        <v>5529200.04</v>
      </c>
      <c r="Q8" s="2">
        <f>VLOOKUP(A8,'[2]2019'!$A$2:$G$24,7,0)</f>
        <v>48383.88</v>
      </c>
      <c r="R8" s="2">
        <f>VLOOKUP(A8,'[2]2019'!$A$2:$H$24,8,0)</f>
        <v>218481.47000000003</v>
      </c>
      <c r="S8" s="2">
        <f>VLOOKUP(A8,'[2]2019'!$A$2:$I$24,9,0)</f>
        <v>58375.559999999969</v>
      </c>
      <c r="T8" s="8">
        <f t="shared" si="0"/>
        <v>24994084.829999734</v>
      </c>
      <c r="U8" s="8">
        <f t="shared" si="1"/>
        <v>18299.512993288397</v>
      </c>
      <c r="V8" s="8">
        <f t="shared" si="2"/>
        <v>50.135652036406569</v>
      </c>
    </row>
    <row r="9" spans="1:22" x14ac:dyDescent="0.25">
      <c r="A9" s="1" t="s">
        <v>36</v>
      </c>
      <c r="B9" s="6">
        <f>VLOOKUP(A9,[8]Ocupação!$E$4:$F$25,2,0)</f>
        <v>455.75</v>
      </c>
      <c r="C9" s="2">
        <f>VLOOKUP(A9,'[1]2019'!$A$2:$D$22,4,0)</f>
        <v>20529485.409999631</v>
      </c>
      <c r="D9" s="2"/>
      <c r="E9" s="2"/>
      <c r="F9" s="2">
        <f>VLOOKUP(A9,'[3]2019'!$A$2:$H$24,8,0)</f>
        <v>9371.9500000000007</v>
      </c>
      <c r="G9" s="2">
        <f>VLOOKUP(A9,'[3]2019'!$A$2:$I$24,9,0)</f>
        <v>15545.56</v>
      </c>
      <c r="H9" s="2">
        <f>VLOOKUP(A9,'[6]2019'!$A$2:$E$24,5,0)</f>
        <v>4194.88</v>
      </c>
      <c r="I9" s="2">
        <f>VLOOKUP(A9,'[2]2019'!$A$2:$C$24,3,0)</f>
        <v>23537.530000000002</v>
      </c>
      <c r="J9" s="2">
        <f>VLOOKUP(A9,'[2]2019'!$A$2:$I$24,4,0)</f>
        <v>5555.92</v>
      </c>
      <c r="K9" s="2">
        <f>VLOOKUP(A9,'[5]2019'!$A$2:$M$24,13,0)</f>
        <v>11373757.630000001</v>
      </c>
      <c r="L9" s="2">
        <f>VLOOKUP(A9,'[2]2019'!$A$2:$E$24,5,0)</f>
        <v>0</v>
      </c>
      <c r="M9" s="2">
        <f>VLOOKUP(A9,'[3]2019'!$A$2:$O$24,15,0)</f>
        <v>0</v>
      </c>
      <c r="N9" s="2">
        <f>VLOOKUP(A9,'[2]2019'!$A$2:$F$24,6,0)</f>
        <v>112520.03</v>
      </c>
      <c r="O9" s="2">
        <f>VLOOKUP(A9,'[7]2019'!$A$2:$C$24,3,0)</f>
        <v>3000</v>
      </c>
      <c r="P9" s="2">
        <f>VLOOKUP(A9,'[4]2019'!$A$2:$R$24,18,0)</f>
        <v>2393240.6800000002</v>
      </c>
      <c r="Q9" s="2">
        <f>VLOOKUP(A9,'[2]2019'!$A$2:$G$24,7,0)</f>
        <v>21063.800000000003</v>
      </c>
      <c r="R9" s="2">
        <f>VLOOKUP(A9,'[2]2019'!$A$2:$H$24,8,0)</f>
        <v>100479.85999999997</v>
      </c>
      <c r="S9" s="2">
        <f>VLOOKUP(A9,'[2]2019'!$A$2:$I$24,9,0)</f>
        <v>37943.679999999993</v>
      </c>
      <c r="T9" s="8">
        <f t="shared" si="0"/>
        <v>34629696.929999627</v>
      </c>
      <c r="U9" s="8">
        <f t="shared" si="1"/>
        <v>75983.975710366707</v>
      </c>
      <c r="V9" s="8">
        <f t="shared" si="2"/>
        <v>208.1752759188129</v>
      </c>
    </row>
    <row r="10" spans="1:22" x14ac:dyDescent="0.25">
      <c r="A10" s="1" t="s">
        <v>41</v>
      </c>
      <c r="B10" s="6">
        <f>VLOOKUP(A10,[8]Ocupação!$E$4:$F$25,2,0)</f>
        <v>941.66666666666663</v>
      </c>
      <c r="C10" s="2">
        <f>VLOOKUP(A10,'[1]2019'!$A$2:$D$22,4,0)</f>
        <v>21645455.779999468</v>
      </c>
      <c r="D10" s="2"/>
      <c r="E10" s="2"/>
      <c r="F10" s="2">
        <f>VLOOKUP(A10,'[3]2019'!$A$2:$H$24,8,0)</f>
        <v>5989.03</v>
      </c>
      <c r="G10" s="2">
        <f>VLOOKUP(A10,'[3]2019'!$A$2:$I$24,9,0)</f>
        <v>9855.36</v>
      </c>
      <c r="H10" s="2">
        <f>VLOOKUP(A10,'[6]2019'!$A$2:$E$24,5,0)</f>
        <v>2463.89</v>
      </c>
      <c r="I10" s="2">
        <f>VLOOKUP(A10,'[2]2019'!$A$2:$C$24,3,0)</f>
        <v>23784.280000000002</v>
      </c>
      <c r="J10" s="2">
        <f>VLOOKUP(A10,'[2]2019'!$A$2:$I$24,4,0)</f>
        <v>7443.64</v>
      </c>
      <c r="K10" s="2">
        <f>VLOOKUP(A10,'[5]2019'!$A$2:$M$24,13,0)</f>
        <v>0</v>
      </c>
      <c r="L10" s="2">
        <f>VLOOKUP(A10,'[2]2019'!$A$2:$E$24,5,0)</f>
        <v>0</v>
      </c>
      <c r="M10" s="2">
        <f>VLOOKUP(A10,'[3]2019'!$A$2:$O$24,15,0)</f>
        <v>0</v>
      </c>
      <c r="N10" s="2">
        <f>VLOOKUP(A10,'[2]2019'!$A$2:$F$24,6,0)</f>
        <v>79410.009999999995</v>
      </c>
      <c r="O10" s="2">
        <f>VLOOKUP(A10,'[7]2019'!$A$2:$C$24,3,0)</f>
        <v>6000</v>
      </c>
      <c r="P10" s="2">
        <f>VLOOKUP(A10,'[4]2019'!$A$2:$R$24,18,0)</f>
        <v>4342507.54</v>
      </c>
      <c r="Q10" s="2">
        <f>VLOOKUP(A10,'[2]2019'!$A$2:$G$24,7,0)</f>
        <v>25419.72</v>
      </c>
      <c r="R10" s="2">
        <f>VLOOKUP(A10,'[2]2019'!$A$2:$H$24,8,0)</f>
        <v>129501.87000000001</v>
      </c>
      <c r="S10" s="2">
        <f>VLOOKUP(A10,'[2]2019'!$A$2:$I$24,9,0)</f>
        <v>72933.620000000024</v>
      </c>
      <c r="T10" s="8">
        <f t="shared" si="0"/>
        <v>26350764.739999473</v>
      </c>
      <c r="U10" s="8">
        <f t="shared" si="1"/>
        <v>27983.112998229532</v>
      </c>
      <c r="V10" s="8">
        <f t="shared" si="2"/>
        <v>76.666063008848027</v>
      </c>
    </row>
    <row r="11" spans="1:22" x14ac:dyDescent="0.25">
      <c r="A11" s="1" t="s">
        <v>44</v>
      </c>
      <c r="B11" s="6">
        <f>VLOOKUP(A11,[8]Ocupação!$E$4:$F$25,2,0)</f>
        <v>834</v>
      </c>
      <c r="C11" s="2">
        <f>VLOOKUP(A11,'[1]2019'!$A$2:$D$22,4,0)</f>
        <v>15154379.469999887</v>
      </c>
      <c r="D11" s="2"/>
      <c r="E11" s="2"/>
      <c r="F11" s="2">
        <f>VLOOKUP(A11,'[3]2019'!$A$2:$H$24,8,0)</f>
        <v>2328.5500000000002</v>
      </c>
      <c r="G11" s="2">
        <f>VLOOKUP(A11,'[3]2019'!$A$2:$I$24,9,0)</f>
        <v>17118.75</v>
      </c>
      <c r="H11" s="2">
        <f>VLOOKUP(A11,'[6]2019'!$A$2:$E$24,5,0)</f>
        <v>10447.129999999997</v>
      </c>
      <c r="I11" s="2">
        <f>VLOOKUP(A11,'[2]2019'!$A$2:$C$24,3,0)</f>
        <v>25960.21</v>
      </c>
      <c r="J11" s="2">
        <f>VLOOKUP(A11,'[2]2019'!$A$2:$I$24,4,0)</f>
        <v>4312.4799999999996</v>
      </c>
      <c r="K11" s="2">
        <f>VLOOKUP(A11,'[5]2019'!$A$2:$M$24,13,0)</f>
        <v>0</v>
      </c>
      <c r="L11" s="2">
        <f>VLOOKUP(A11,'[2]2019'!$A$2:$E$24,5,0)</f>
        <v>0</v>
      </c>
      <c r="M11" s="2">
        <f>VLOOKUP(A11,'[3]2019'!$A$2:$O$24,15,0)</f>
        <v>6720</v>
      </c>
      <c r="N11" s="2">
        <f>VLOOKUP(A11,'[2]2019'!$A$2:$F$24,6,0)</f>
        <v>101670.9</v>
      </c>
      <c r="O11" s="2">
        <f>VLOOKUP(A11,'[7]2019'!$A$2:$C$24,3,0)</f>
        <v>15000</v>
      </c>
      <c r="P11" s="2">
        <f>VLOOKUP(A11,'[4]2019'!$A$2:$R$24,18,0)</f>
        <v>3575982.16</v>
      </c>
      <c r="Q11" s="2">
        <f>VLOOKUP(A11,'[2]2019'!$A$2:$G$24,7,0)</f>
        <v>41320.03</v>
      </c>
      <c r="R11" s="2">
        <f>VLOOKUP(A11,'[2]2019'!$A$2:$H$24,8,0)</f>
        <v>112126.07</v>
      </c>
      <c r="S11" s="2">
        <f>VLOOKUP(A11,'[2]2019'!$A$2:$I$24,9,0)</f>
        <v>57193.619999999995</v>
      </c>
      <c r="T11" s="8">
        <f t="shared" si="0"/>
        <v>19124559.369999893</v>
      </c>
      <c r="U11" s="8">
        <f t="shared" si="1"/>
        <v>22931.12634292553</v>
      </c>
      <c r="V11" s="8">
        <f t="shared" si="2"/>
        <v>62.825003679248027</v>
      </c>
    </row>
    <row r="12" spans="1:22" x14ac:dyDescent="0.25">
      <c r="A12" s="1" t="s">
        <v>50</v>
      </c>
      <c r="B12" s="6">
        <f>VLOOKUP(A12,[8]Ocupação!$E$4:$F$25,2,0)</f>
        <v>874.83333333333337</v>
      </c>
      <c r="C12" s="2">
        <f>VLOOKUP(A12,'[1]2019'!$A$2:$D$22,4,0)</f>
        <v>13137816.109999973</v>
      </c>
      <c r="D12" s="2"/>
      <c r="E12" s="2"/>
      <c r="F12" s="2">
        <f>VLOOKUP(A12,'[3]2019'!$A$2:$H$24,8,0)</f>
        <v>7940.29</v>
      </c>
      <c r="G12" s="2">
        <f>VLOOKUP(A12,'[3]2019'!$A$2:$I$24,9,0)</f>
        <v>52912.65</v>
      </c>
      <c r="H12" s="2">
        <f>VLOOKUP(A12,'[6]2019'!$A$2:$E$24,5,0)</f>
        <v>97544.43</v>
      </c>
      <c r="I12" s="2">
        <f>VLOOKUP(A12,'[2]2019'!$A$2:$C$24,3,0)</f>
        <v>41244.53</v>
      </c>
      <c r="J12" s="2">
        <f>VLOOKUP(A12,'[2]2019'!$A$2:$I$24,4,0)</f>
        <v>12990.689999999999</v>
      </c>
      <c r="K12" s="2">
        <f>VLOOKUP(A12,'[5]2019'!$A$2:$M$24,13,0)</f>
        <v>0</v>
      </c>
      <c r="L12" s="2">
        <f>VLOOKUP(A12,'[2]2019'!$A$2:$E$24,5,0)</f>
        <v>0</v>
      </c>
      <c r="M12" s="2">
        <f>VLOOKUP(A12,'[3]2019'!$A$2:$O$24,15,0)</f>
        <v>6720</v>
      </c>
      <c r="N12" s="2">
        <f>VLOOKUP(A12,'[2]2019'!$A$2:$F$24,6,0)</f>
        <v>160889.31</v>
      </c>
      <c r="O12" s="2" t="str">
        <f>VLOOKUP(A12,'[7]2019'!$A$2:$C$24,3,0)</f>
        <v xml:space="preserve"> R$ -   </v>
      </c>
      <c r="P12" s="2">
        <f>VLOOKUP(A12,'[4]2019'!$A$2:$R$24,18,0)</f>
        <v>3991358.85</v>
      </c>
      <c r="Q12" s="2">
        <f>VLOOKUP(A12,'[2]2019'!$A$2:$G$24,7,0)</f>
        <v>59939.299999999996</v>
      </c>
      <c r="R12" s="2">
        <f>VLOOKUP(A12,'[2]2019'!$A$2:$H$24,8,0)</f>
        <v>179693.42</v>
      </c>
      <c r="S12" s="2">
        <f>VLOOKUP(A12,'[2]2019'!$A$2:$I$24,9,0)</f>
        <v>45361.830000000016</v>
      </c>
      <c r="T12" s="8">
        <f t="shared" si="0"/>
        <v>17794411.409999974</v>
      </c>
      <c r="U12" s="8">
        <f t="shared" si="1"/>
        <v>20340.34453419696</v>
      </c>
      <c r="V12" s="8">
        <f t="shared" si="2"/>
        <v>55.726971326567011</v>
      </c>
    </row>
    <row r="13" spans="1:22" x14ac:dyDescent="0.25">
      <c r="A13" s="1" t="s">
        <v>55</v>
      </c>
      <c r="B13" s="6">
        <f>VLOOKUP(A13,[8]Ocupação!$E$4:$F$25,2,0)</f>
        <v>1331.9166666666667</v>
      </c>
      <c r="C13" s="2">
        <f>VLOOKUP(A13,'[1]2019'!$A$2:$D$22,4,0)</f>
        <v>21071367.979999635</v>
      </c>
      <c r="D13" s="2"/>
      <c r="E13" s="2"/>
      <c r="F13" s="2">
        <f>VLOOKUP(A13,'[3]2019'!$A$2:$H$24,8,0)</f>
        <v>204060.85</v>
      </c>
      <c r="G13" s="2">
        <f>VLOOKUP(A13,'[3]2019'!$A$2:$I$24,9,0)</f>
        <v>18036.849999999999</v>
      </c>
      <c r="H13" s="2">
        <f>VLOOKUP(A13,'[6]2019'!$A$2:$E$24,5,0)</f>
        <v>76671.199999999997</v>
      </c>
      <c r="I13" s="2">
        <f>VLOOKUP(A13,'[2]2019'!$A$2:$C$24,3,0)</f>
        <v>41989.219999999987</v>
      </c>
      <c r="J13" s="2">
        <f>VLOOKUP(A13,'[2]2019'!$A$2:$I$24,4,0)</f>
        <v>17683.43</v>
      </c>
      <c r="K13" s="2">
        <f>VLOOKUP(A13,'[5]2019'!$A$2:$M$24,13,0)</f>
        <v>0</v>
      </c>
      <c r="L13" s="2">
        <f>VLOOKUP(A13,'[2]2019'!$A$2:$E$24,5,0)</f>
        <v>0</v>
      </c>
      <c r="M13" s="2">
        <f>VLOOKUP(A13,'[3]2019'!$A$2:$O$24,15,0)</f>
        <v>12720</v>
      </c>
      <c r="N13" s="2">
        <f>VLOOKUP(A13,'[2]2019'!$A$2:$F$24,6,0)</f>
        <v>187658.57</v>
      </c>
      <c r="O13" s="2">
        <f>VLOOKUP(A13,'[7]2019'!$A$2:$C$24,3,0)</f>
        <v>1000</v>
      </c>
      <c r="P13" s="2">
        <f>VLOOKUP(A13,'[4]2019'!$A$2:$R$24,18,0)</f>
        <v>4894364.8899999997</v>
      </c>
      <c r="Q13" s="2">
        <f>VLOOKUP(A13,'[2]2019'!$A$2:$G$24,7,0)</f>
        <v>71062.259999999995</v>
      </c>
      <c r="R13" s="2">
        <f>VLOOKUP(A13,'[2]2019'!$A$2:$H$24,8,0)</f>
        <v>343584.89</v>
      </c>
      <c r="S13" s="2">
        <f>VLOOKUP(A13,'[2]2019'!$A$2:$I$24,9,0)</f>
        <v>50349.22</v>
      </c>
      <c r="T13" s="8">
        <f t="shared" si="0"/>
        <v>26990549.359999638</v>
      </c>
      <c r="U13" s="8">
        <f t="shared" si="1"/>
        <v>20264.442990677322</v>
      </c>
      <c r="V13" s="8">
        <f t="shared" si="2"/>
        <v>55.519021892266636</v>
      </c>
    </row>
    <row r="14" spans="1:22" x14ac:dyDescent="0.25">
      <c r="A14" s="1" t="s">
        <v>60</v>
      </c>
      <c r="B14" s="6">
        <f>VLOOKUP(A14,[8]Ocupação!$E$4:$F$25,2,0)</f>
        <v>1113.0833333333333</v>
      </c>
      <c r="C14" s="2">
        <f>VLOOKUP(A14,'[1]2019'!$A$2:$D$22,4,0)</f>
        <v>15452573.999999737</v>
      </c>
      <c r="D14" s="2"/>
      <c r="E14" s="2"/>
      <c r="F14" s="2">
        <f>VLOOKUP(A14,'[3]2019'!$A$2:$H$24,8,0)</f>
        <v>209344.01</v>
      </c>
      <c r="G14" s="2">
        <f>VLOOKUP(A14,'[3]2019'!$A$2:$I$24,9,0)</f>
        <v>17301.25</v>
      </c>
      <c r="H14" s="2">
        <f>VLOOKUP(A14,'[6]2019'!$A$2:$E$24,5,0)</f>
        <v>316241.2</v>
      </c>
      <c r="I14" s="2">
        <f>VLOOKUP(A14,'[2]2019'!$A$2:$C$24,3,0)</f>
        <v>35315.18</v>
      </c>
      <c r="J14" s="2">
        <f>VLOOKUP(A14,'[2]2019'!$A$2:$I$24,4,0)</f>
        <v>9982.5300000000007</v>
      </c>
      <c r="K14" s="2">
        <f>VLOOKUP(A14,'[5]2019'!$A$2:$M$24,13,0)</f>
        <v>0</v>
      </c>
      <c r="L14" s="2">
        <f>VLOOKUP(A14,'[2]2019'!$A$2:$E$24,5,0)</f>
        <v>0</v>
      </c>
      <c r="M14" s="2">
        <f>VLOOKUP(A14,'[3]2019'!$A$2:$O$24,15,0)</f>
        <v>6720</v>
      </c>
      <c r="N14" s="2">
        <f>VLOOKUP(A14,'[2]2019'!$A$2:$F$24,6,0)</f>
        <v>231555.64</v>
      </c>
      <c r="O14" s="2">
        <f>VLOOKUP(A14,'[7]2019'!$A$2:$C$24,3,0)</f>
        <v>9000</v>
      </c>
      <c r="P14" s="2">
        <f>VLOOKUP(A14,'[4]2019'!$A$2:$R$24,18,0)</f>
        <v>4713862.0199999996</v>
      </c>
      <c r="Q14" s="2">
        <f>VLOOKUP(A14,'[2]2019'!$A$2:$G$24,7,0)</f>
        <v>45431.42</v>
      </c>
      <c r="R14" s="2">
        <f>VLOOKUP(A14,'[2]2019'!$A$2:$H$24,8,0)</f>
        <v>83228.760000000024</v>
      </c>
      <c r="S14" s="2">
        <f>VLOOKUP(A14,'[2]2019'!$A$2:$I$24,9,0)</f>
        <v>43191.340000000011</v>
      </c>
      <c r="T14" s="8">
        <f t="shared" si="0"/>
        <v>21173747.349999741</v>
      </c>
      <c r="U14" s="8">
        <f t="shared" si="1"/>
        <v>19022.607486710855</v>
      </c>
      <c r="V14" s="8">
        <f t="shared" si="2"/>
        <v>52.116732840303712</v>
      </c>
    </row>
    <row r="15" spans="1:22" x14ac:dyDescent="0.25">
      <c r="A15" s="1" t="s">
        <v>65</v>
      </c>
      <c r="B15" s="6">
        <f>VLOOKUP(A15,[8]Ocupação!$E$4:$F$25,2,0)</f>
        <v>2449.9166666666665</v>
      </c>
      <c r="C15" s="2">
        <f>VLOOKUP(A15,'[1]2019'!$A$2:$D$22,4,0)</f>
        <v>35339940.98000022</v>
      </c>
      <c r="D15" s="2"/>
      <c r="E15" s="2"/>
      <c r="F15" s="2">
        <f>VLOOKUP(A15,'[3]2019'!$A$2:$H$24,8,0)</f>
        <v>15175.85</v>
      </c>
      <c r="G15" s="2">
        <f>VLOOKUP(A15,'[3]2019'!$A$2:$I$24,9,0)</f>
        <v>33537.89</v>
      </c>
      <c r="H15" s="2">
        <f>VLOOKUP(A15,'[6]2019'!$A$2:$E$24,5,0)</f>
        <v>211114.64</v>
      </c>
      <c r="I15" s="2">
        <f>VLOOKUP(A15,'[2]2019'!$A$2:$C$24,3,0)</f>
        <v>57105.150000000009</v>
      </c>
      <c r="J15" s="2">
        <f>VLOOKUP(A15,'[2]2019'!$A$2:$I$24,4,0)</f>
        <v>19362.989999999998</v>
      </c>
      <c r="K15" s="2">
        <f>VLOOKUP(A15,'[5]2019'!$A$2:$M$24,13,0)</f>
        <v>0</v>
      </c>
      <c r="L15" s="2">
        <f>VLOOKUP(A15,'[2]2019'!$A$2:$E$24,5,0)</f>
        <v>0</v>
      </c>
      <c r="M15" s="2">
        <f>VLOOKUP(A15,'[3]2019'!$A$2:$O$24,15,0)</f>
        <v>12720</v>
      </c>
      <c r="N15" s="2">
        <f>VLOOKUP(A15,'[2]2019'!$A$2:$F$24,6,0)</f>
        <v>424144.4</v>
      </c>
      <c r="O15" s="2">
        <f>VLOOKUP(A15,'[7]2019'!$A$2:$C$24,3,0)</f>
        <v>3000</v>
      </c>
      <c r="P15" s="2">
        <f>VLOOKUP(A15,'[4]2019'!$A$2:$R$24,18,0)</f>
        <v>8389202.7400000002</v>
      </c>
      <c r="Q15" s="2">
        <f>VLOOKUP(A15,'[2]2019'!$A$2:$G$24,7,0)</f>
        <v>97470.959999999977</v>
      </c>
      <c r="R15" s="2">
        <f>VLOOKUP(A15,'[2]2019'!$A$2:$H$24,8,0)</f>
        <v>320969.65000000002</v>
      </c>
      <c r="S15" s="2">
        <f>VLOOKUP(A15,'[2]2019'!$A$2:$I$24,9,0)</f>
        <v>67529.410000000018</v>
      </c>
      <c r="T15" s="8">
        <f t="shared" si="0"/>
        <v>44991274.66000022</v>
      </c>
      <c r="U15" s="8">
        <f t="shared" si="1"/>
        <v>18364.410215313535</v>
      </c>
      <c r="V15" s="8">
        <f t="shared" si="2"/>
        <v>50.313452644694621</v>
      </c>
    </row>
    <row r="16" spans="1:22" x14ac:dyDescent="0.25">
      <c r="A16" s="1" t="s">
        <v>70</v>
      </c>
      <c r="B16" s="6">
        <f>VLOOKUP(A16,[8]Ocupação!$E$4:$F$25,2,0)</f>
        <v>754.58333333333337</v>
      </c>
      <c r="C16" s="2">
        <f>VLOOKUP(A16,'[1]2019'!$A$2:$D$22,4,0)</f>
        <v>21274115.139999639</v>
      </c>
      <c r="D16" s="2"/>
      <c r="E16" s="2"/>
      <c r="F16" s="2">
        <f>VLOOKUP(A16,'[3]2019'!$A$2:$H$24,8,0)</f>
        <v>204537.88</v>
      </c>
      <c r="G16" s="2">
        <f>VLOOKUP(A16,'[3]2019'!$A$2:$I$24,9,0)</f>
        <v>32791.769999999997</v>
      </c>
      <c r="H16" s="2">
        <f>VLOOKUP(A16,'[6]2019'!$A$2:$E$24,5,0)</f>
        <v>201878.35</v>
      </c>
      <c r="I16" s="2">
        <f>VLOOKUP(A16,'[2]2019'!$A$2:$C$24,3,0)</f>
        <v>19317.749999999996</v>
      </c>
      <c r="J16" s="2">
        <f>VLOOKUP(A16,'[2]2019'!$A$2:$I$24,4,0)</f>
        <v>2436.0299999999997</v>
      </c>
      <c r="K16" s="2">
        <f>VLOOKUP(A16,'[5]2019'!$A$2:$M$24,13,0)</f>
        <v>0</v>
      </c>
      <c r="L16" s="2">
        <f>VLOOKUP(A16,'[2]2019'!$A$2:$E$24,5,0)</f>
        <v>0</v>
      </c>
      <c r="M16" s="2">
        <f>VLOOKUP(A16,'[3]2019'!$A$2:$O$24,15,0)</f>
        <v>12720</v>
      </c>
      <c r="N16" s="2">
        <f>VLOOKUP(A16,'[2]2019'!$A$2:$F$24,6,0)</f>
        <v>184533.57</v>
      </c>
      <c r="O16" s="2">
        <f>VLOOKUP(A16,'[7]2019'!$A$2:$C$24,3,0)</f>
        <v>6000</v>
      </c>
      <c r="P16" s="2">
        <f>VLOOKUP(A16,'[4]2019'!$A$2:$R$24,18,0)</f>
        <v>2798232.8800000004</v>
      </c>
      <c r="Q16" s="2">
        <f>VLOOKUP(A16,'[2]2019'!$A$2:$G$24,7,0)</f>
        <v>53585.479999999996</v>
      </c>
      <c r="R16" s="2">
        <f>VLOOKUP(A16,'[2]2019'!$A$2:$H$24,8,0)</f>
        <v>132074.12999999998</v>
      </c>
      <c r="S16" s="2">
        <f>VLOOKUP(A16,'[2]2019'!$A$2:$I$24,9,0)</f>
        <v>64491.199999999975</v>
      </c>
      <c r="T16" s="8">
        <f t="shared" si="0"/>
        <v>24986714.179999638</v>
      </c>
      <c r="U16" s="8">
        <f t="shared" si="1"/>
        <v>33113.26009497467</v>
      </c>
      <c r="V16" s="8">
        <f t="shared" si="2"/>
        <v>90.721260534177176</v>
      </c>
    </row>
    <row r="17" spans="1:22" x14ac:dyDescent="0.25">
      <c r="A17" s="1" t="s">
        <v>75</v>
      </c>
      <c r="B17" s="6">
        <f>VLOOKUP(A17,[8]Ocupação!$E$4:$F$25,2,0)</f>
        <v>506.5</v>
      </c>
      <c r="C17" s="2">
        <f>VLOOKUP(A17,'[1]2019'!$A$2:$D$22,4,0)</f>
        <v>15322042.669999905</v>
      </c>
      <c r="D17" s="2"/>
      <c r="E17" s="2"/>
      <c r="F17" s="2">
        <f>VLOOKUP(A17,'[3]2019'!$A$2:$H$24,8,0)</f>
        <v>203905.88</v>
      </c>
      <c r="G17" s="2">
        <f>VLOOKUP(A17,'[3]2019'!$A$2:$I$24,9,0)</f>
        <v>42258.21</v>
      </c>
      <c r="H17" s="2">
        <f>VLOOKUP(A17,'[6]2019'!$A$2:$E$24,5,0)</f>
        <v>9689.1799999999985</v>
      </c>
      <c r="I17" s="2">
        <f>VLOOKUP(A17,'[2]2019'!$A$2:$C$24,3,0)</f>
        <v>18064.519999999997</v>
      </c>
      <c r="J17" s="2">
        <f>VLOOKUP(A17,'[2]2019'!$A$2:$I$24,4,0)</f>
        <v>1011.6</v>
      </c>
      <c r="K17" s="2">
        <f>VLOOKUP(A17,'[5]2019'!$A$2:$M$24,13,0)</f>
        <v>0</v>
      </c>
      <c r="L17" s="2">
        <f>VLOOKUP(A17,'[2]2019'!$A$2:$E$24,5,0)</f>
        <v>0</v>
      </c>
      <c r="M17" s="2">
        <f>VLOOKUP(A17,'[3]2019'!$A$2:$O$24,15,0)</f>
        <v>6720</v>
      </c>
      <c r="N17" s="2">
        <f>VLOOKUP(A17,'[2]2019'!$A$2:$F$24,6,0)</f>
        <v>142557.66999999998</v>
      </c>
      <c r="O17" s="2" t="str">
        <f>VLOOKUP(A17,'[7]2019'!$A$2:$C$24,3,0)</f>
        <v xml:space="preserve"> R$ -   </v>
      </c>
      <c r="P17" s="2">
        <f>VLOOKUP(A17,'[4]2019'!$A$2:$R$24,18,0)</f>
        <v>2465241.71</v>
      </c>
      <c r="Q17" s="2">
        <f>VLOOKUP(A17,'[2]2019'!$A$2:$G$24,7,0)</f>
        <v>20258.190000000002</v>
      </c>
      <c r="R17" s="2">
        <f>VLOOKUP(A17,'[2]2019'!$A$2:$H$24,8,0)</f>
        <v>75156.11</v>
      </c>
      <c r="S17" s="2">
        <f>VLOOKUP(A17,'[2]2019'!$A$2:$I$24,9,0)</f>
        <v>16964.88</v>
      </c>
      <c r="T17" s="8">
        <f t="shared" si="0"/>
        <v>18323870.619999904</v>
      </c>
      <c r="U17" s="8">
        <f t="shared" si="1"/>
        <v>36177.434590325574</v>
      </c>
      <c r="V17" s="8">
        <f t="shared" si="2"/>
        <v>99.116259151576912</v>
      </c>
    </row>
    <row r="18" spans="1:22" x14ac:dyDescent="0.25">
      <c r="A18" s="1" t="s">
        <v>80</v>
      </c>
      <c r="B18" s="6">
        <f>VLOOKUP(A18,[8]Ocupação!$E$4:$F$25,2,0)</f>
        <v>319.25</v>
      </c>
      <c r="C18" s="2">
        <f>VLOOKUP(A18,'[1]2019'!$A$2:$D$22,4,0)</f>
        <v>17761554.139999941</v>
      </c>
      <c r="D18" s="2"/>
      <c r="E18" s="2"/>
      <c r="F18" s="2">
        <f>VLOOKUP(A18,'[3]2019'!$A$2:$H$24,8,0)</f>
        <v>6281.81</v>
      </c>
      <c r="G18" s="2">
        <f>VLOOKUP(A18,'[3]2019'!$A$2:$I$24,9,0)</f>
        <v>13389.52</v>
      </c>
      <c r="H18" s="2">
        <f>VLOOKUP(A18,'[6]2019'!$A$2:$E$24,5,0)</f>
        <v>849888.65</v>
      </c>
      <c r="I18" s="2">
        <f>VLOOKUP(A18,'[2]2019'!$A$2:$C$24,3,0)</f>
        <v>27191.270000000008</v>
      </c>
      <c r="J18" s="2">
        <f>VLOOKUP(A18,'[2]2019'!$A$2:$I$24,4,0)</f>
        <v>8158.3500000000013</v>
      </c>
      <c r="K18" s="2">
        <f>VLOOKUP(A18,'[5]2019'!$A$2:$M$24,13,0)</f>
        <v>0</v>
      </c>
      <c r="L18" s="2">
        <f>VLOOKUP(A18,'[2]2019'!$A$2:$E$24,5,0)</f>
        <v>0</v>
      </c>
      <c r="M18" s="2">
        <f>VLOOKUP(A18,'[3]2019'!$A$2:$O$24,15,0)</f>
        <v>6720</v>
      </c>
      <c r="N18" s="2">
        <f>VLOOKUP(A18,'[2]2019'!$A$2:$F$24,6,0)</f>
        <v>102229.37</v>
      </c>
      <c r="O18" s="2">
        <f>VLOOKUP(A18,'[7]2019'!$A$2:$C$24,3,0)</f>
        <v>12000</v>
      </c>
      <c r="P18" s="2">
        <f>VLOOKUP(A18,'[4]2019'!$A$2:$R$24,18,0)</f>
        <v>1568890.89</v>
      </c>
      <c r="Q18" s="2">
        <f>VLOOKUP(A18,'[2]2019'!$A$2:$G$24,7,0)</f>
        <v>18053.29</v>
      </c>
      <c r="R18" s="2">
        <f>VLOOKUP(A18,'[2]2019'!$A$2:$H$24,8,0)</f>
        <v>271826.07</v>
      </c>
      <c r="S18" s="2">
        <f>VLOOKUP(A18,'[2]2019'!$A$2:$I$24,9,0)</f>
        <v>24754.880000000001</v>
      </c>
      <c r="T18" s="8">
        <f t="shared" si="0"/>
        <v>20670938.239999939</v>
      </c>
      <c r="U18" s="8">
        <f t="shared" si="1"/>
        <v>64748.436147219858</v>
      </c>
      <c r="V18" s="8">
        <f t="shared" si="2"/>
        <v>177.39297574580783</v>
      </c>
    </row>
    <row r="19" spans="1:22" x14ac:dyDescent="0.25">
      <c r="A19" s="1" t="s">
        <v>85</v>
      </c>
      <c r="B19" s="6">
        <f>VLOOKUP(A19,[8]Ocupação!$E$4:$F$25,2,0)</f>
        <v>1244.8333333333333</v>
      </c>
      <c r="C19" s="2">
        <f>VLOOKUP(A19,'[1]2019'!$A$2:$D$22,4,0)</f>
        <v>19426016.189999811</v>
      </c>
      <c r="D19" s="2"/>
      <c r="E19" s="2"/>
      <c r="F19" s="2">
        <f>VLOOKUP(A19,'[3]2019'!$A$2:$H$24,8,0)</f>
        <v>205247.29</v>
      </c>
      <c r="G19" s="2">
        <f>VLOOKUP(A19,'[3]2019'!$A$2:$I$24,9,0)</f>
        <v>16812.419999999998</v>
      </c>
      <c r="H19" s="2">
        <f>VLOOKUP(A19,'[6]2019'!$A$2:$E$24,5,0)</f>
        <v>305915.42</v>
      </c>
      <c r="I19" s="2">
        <f>VLOOKUP(A19,'[2]2019'!$A$2:$C$24,3,0)</f>
        <v>35919.590000000004</v>
      </c>
      <c r="J19" s="2">
        <f>VLOOKUP(A19,'[2]2019'!$A$2:$I$24,4,0)</f>
        <v>10822.029999999993</v>
      </c>
      <c r="K19" s="2">
        <f>VLOOKUP(A19,'[5]2019'!$A$2:$M$24,13,0)</f>
        <v>0</v>
      </c>
      <c r="L19" s="2">
        <f>VLOOKUP(A19,'[2]2019'!$A$2:$E$24,5,0)</f>
        <v>0</v>
      </c>
      <c r="M19" s="2">
        <f>VLOOKUP(A19,'[3]2019'!$A$2:$O$24,15,0)</f>
        <v>6720</v>
      </c>
      <c r="N19" s="2">
        <f>VLOOKUP(A19,'[2]2019'!$A$2:$F$24,6,0)</f>
        <v>211826.05000000002</v>
      </c>
      <c r="O19" s="2">
        <f>VLOOKUP(A19,'[7]2019'!$A$2:$C$24,3,0)</f>
        <v>15000</v>
      </c>
      <c r="P19" s="2">
        <f>VLOOKUP(A19,'[4]2019'!$A$2:$R$24,18,0)</f>
        <v>5120019.9799999995</v>
      </c>
      <c r="Q19" s="2">
        <f>VLOOKUP(A19,'[2]2019'!$A$2:$G$24,7,0)</f>
        <v>61522.740000000005</v>
      </c>
      <c r="R19" s="2">
        <f>VLOOKUP(A19,'[2]2019'!$A$2:$H$24,8,0)</f>
        <v>147697.05000000002</v>
      </c>
      <c r="S19" s="2">
        <f>VLOOKUP(A19,'[2]2019'!$A$2:$I$24,9,0)</f>
        <v>111364.56000000007</v>
      </c>
      <c r="T19" s="8">
        <f t="shared" si="0"/>
        <v>25674883.319999814</v>
      </c>
      <c r="U19" s="8">
        <f t="shared" si="1"/>
        <v>20625.157306198809</v>
      </c>
      <c r="V19" s="8">
        <f t="shared" si="2"/>
        <v>56.507280290955642</v>
      </c>
    </row>
    <row r="20" spans="1:22" x14ac:dyDescent="0.25">
      <c r="A20" s="1" t="s">
        <v>90</v>
      </c>
      <c r="B20" s="6">
        <f>VLOOKUP(A20,[8]Ocupação!$E$4:$F$25,2,0)</f>
        <v>1549.8333333333333</v>
      </c>
      <c r="C20" s="2">
        <f>VLOOKUP(A20,'[1]2019'!$A$2:$D$22,4,0)</f>
        <v>18825818.70999964</v>
      </c>
      <c r="D20" s="2"/>
      <c r="E20" s="2"/>
      <c r="F20" s="2">
        <f>VLOOKUP(A20,'[3]2019'!$A$2:$H$24,8,0)</f>
        <v>11640.41</v>
      </c>
      <c r="G20" s="2">
        <f>VLOOKUP(A20,'[3]2019'!$A$2:$I$24,9,0)</f>
        <v>86190.6</v>
      </c>
      <c r="H20" s="2">
        <f>VLOOKUP(A20,'[6]2019'!$A$2:$E$24,5,0)</f>
        <v>11792.550000000001</v>
      </c>
      <c r="I20" s="2">
        <f>VLOOKUP(A20,'[2]2019'!$A$2:$C$24,3,0)</f>
        <v>49953.64</v>
      </c>
      <c r="J20" s="2">
        <f>VLOOKUP(A20,'[2]2019'!$A$2:$I$24,4,0)</f>
        <v>11699.059999999996</v>
      </c>
      <c r="K20" s="2">
        <f>VLOOKUP(A20,'[5]2019'!$A$2:$M$24,13,0)</f>
        <v>0</v>
      </c>
      <c r="L20" s="2">
        <f>VLOOKUP(A20,'[2]2019'!$A$2:$E$24,5,0)</f>
        <v>119.67</v>
      </c>
      <c r="M20" s="2">
        <f>VLOOKUP(A20,'[3]2019'!$A$2:$O$24,15,0)</f>
        <v>6720</v>
      </c>
      <c r="N20" s="2">
        <f>VLOOKUP(A20,'[2]2019'!$A$2:$F$24,6,0)</f>
        <v>325071.3</v>
      </c>
      <c r="O20" s="2">
        <f>VLOOKUP(A20,'[7]2019'!$A$2:$C$24,3,0)</f>
        <v>4000</v>
      </c>
      <c r="P20" s="2">
        <f>VLOOKUP(A20,'[4]2019'!$A$2:$R$24,18,0)</f>
        <v>6859846.8799999999</v>
      </c>
      <c r="Q20" s="2">
        <f>VLOOKUP(A20,'[2]2019'!$A$2:$G$24,7,0)</f>
        <v>88751.31</v>
      </c>
      <c r="R20" s="2">
        <f>VLOOKUP(A20,'[2]2019'!$A$2:$H$24,8,0)</f>
        <v>289987.40999999997</v>
      </c>
      <c r="S20" s="2">
        <f>VLOOKUP(A20,'[2]2019'!$A$2:$I$24,9,0)</f>
        <v>85195.27</v>
      </c>
      <c r="T20" s="8">
        <f t="shared" si="0"/>
        <v>26656786.809999641</v>
      </c>
      <c r="U20" s="8">
        <f t="shared" si="1"/>
        <v>17199.776412517243</v>
      </c>
      <c r="V20" s="8">
        <f t="shared" si="2"/>
        <v>47.122675102786971</v>
      </c>
    </row>
    <row r="21" spans="1:22" x14ac:dyDescent="0.25">
      <c r="A21" s="1" t="s">
        <v>95</v>
      </c>
      <c r="B21" s="6">
        <f>VLOOKUP(A21,[8]Ocupação!$E$4:$F$25,2,0)</f>
        <v>697.91666666666663</v>
      </c>
      <c r="C21" s="2">
        <f>VLOOKUP(A21,'[1]2019'!$A$2:$D$22,4,0)</f>
        <v>12186498.900000017</v>
      </c>
      <c r="D21" s="2"/>
      <c r="E21" s="2"/>
      <c r="F21" s="2">
        <f>VLOOKUP(A21,'[3]2019'!$A$2:$H$24,8,0)</f>
        <v>5699.77</v>
      </c>
      <c r="G21" s="2">
        <f>VLOOKUP(A21,'[3]2019'!$A$2:$I$24,9,0)</f>
        <v>39410.089999999997</v>
      </c>
      <c r="H21" s="2">
        <f>VLOOKUP(A21,'[6]2019'!$A$2:$E$24,5,0)</f>
        <v>219175.71</v>
      </c>
      <c r="I21" s="2">
        <f>VLOOKUP(A21,'[2]2019'!$A$2:$C$24,3,0)</f>
        <v>23505.75</v>
      </c>
      <c r="J21" s="2">
        <f>VLOOKUP(A21,'[2]2019'!$A$2:$I$24,4,0)</f>
        <v>4006.0300000000011</v>
      </c>
      <c r="K21" s="2">
        <f>VLOOKUP(A21,'[5]2019'!$A$2:$M$24,13,0)</f>
        <v>0</v>
      </c>
      <c r="L21" s="2">
        <f>VLOOKUP(A21,'[2]2019'!$A$2:$E$24,5,0)</f>
        <v>0</v>
      </c>
      <c r="M21" s="2">
        <f>VLOOKUP(A21,'[3]2019'!$A$2:$O$24,15,0)</f>
        <v>6720</v>
      </c>
      <c r="N21" s="2">
        <f>VLOOKUP(A21,'[2]2019'!$A$2:$F$24,6,0)</f>
        <v>132809.24</v>
      </c>
      <c r="O21" s="2" t="str">
        <f>VLOOKUP(A21,'[7]2019'!$A$2:$C$24,3,0)</f>
        <v xml:space="preserve"> R$ -   </v>
      </c>
      <c r="P21" s="2">
        <f>VLOOKUP(A21,'[4]2019'!$A$2:$R$24,18,0)</f>
        <v>2971148.53</v>
      </c>
      <c r="Q21" s="2">
        <f>VLOOKUP(A21,'[2]2019'!$A$2:$G$24,7,0)</f>
        <v>36762.22</v>
      </c>
      <c r="R21" s="2">
        <f>VLOOKUP(A21,'[2]2019'!$A$2:$H$24,8,0)</f>
        <v>64259.89</v>
      </c>
      <c r="S21" s="2">
        <f>VLOOKUP(A21,'[2]2019'!$A$2:$I$24,9,0)</f>
        <v>52666.850000000028</v>
      </c>
      <c r="T21" s="8">
        <f t="shared" si="0"/>
        <v>15742662.980000017</v>
      </c>
      <c r="U21" s="8">
        <f t="shared" si="1"/>
        <v>22556.651434029878</v>
      </c>
      <c r="V21" s="8">
        <f t="shared" si="2"/>
        <v>61.799045024739392</v>
      </c>
    </row>
    <row r="22" spans="1:22" x14ac:dyDescent="0.25">
      <c r="A22" s="1" t="s">
        <v>100</v>
      </c>
      <c r="B22" s="6">
        <f>VLOOKUP(A22,[8]Ocupação!$E$4:$F$25,2,0)</f>
        <v>834.33333333333337</v>
      </c>
      <c r="C22" s="2">
        <f>VLOOKUP(A22,'[1]2019'!$A$2:$D$22,4,0)</f>
        <v>22244037.689999703</v>
      </c>
      <c r="D22" s="2"/>
      <c r="E22" s="2"/>
      <c r="F22" s="2">
        <f>VLOOKUP(A22,'[3]2019'!$A$2:$H$24,8,0)</f>
        <v>6497.71</v>
      </c>
      <c r="G22" s="2">
        <f>VLOOKUP(A22,'[3]2019'!$A$2:$I$24,9,0)</f>
        <v>57385.89</v>
      </c>
      <c r="H22" s="2">
        <f>VLOOKUP(A22,'[6]2019'!$A$2:$E$24,5,0)</f>
        <v>343902.92</v>
      </c>
      <c r="I22" s="2">
        <f>VLOOKUP(A22,'[2]2019'!$A$2:$C$24,3,0)</f>
        <v>29582.46999999999</v>
      </c>
      <c r="J22" s="2">
        <f>VLOOKUP(A22,'[2]2019'!$A$2:$I$24,4,0)</f>
        <v>6650.88</v>
      </c>
      <c r="K22" s="2">
        <f>VLOOKUP(A22,'[5]2019'!$A$2:$M$24,13,0)</f>
        <v>42524.43</v>
      </c>
      <c r="L22" s="2">
        <f>VLOOKUP(A22,'[2]2019'!$A$2:$E$24,5,0)</f>
        <v>0</v>
      </c>
      <c r="M22" s="2">
        <f>VLOOKUP(A22,'[3]2019'!$A$2:$O$24,15,0)</f>
        <v>6720</v>
      </c>
      <c r="N22" s="2">
        <f>VLOOKUP(A22,'[2]2019'!$A$2:$F$24,6,0)</f>
        <v>113805.95000000001</v>
      </c>
      <c r="O22" s="2">
        <f>VLOOKUP(A22,'[7]2019'!$A$2:$C$24,3,0)</f>
        <v>12000</v>
      </c>
      <c r="P22" s="2">
        <f>VLOOKUP(A22,'[4]2019'!$A$2:$R$24,18,0)</f>
        <v>3523967.3</v>
      </c>
      <c r="Q22" s="2">
        <f>VLOOKUP(A22,'[2]2019'!$A$2:$G$24,7,0)</f>
        <v>45935.43</v>
      </c>
      <c r="R22" s="2">
        <f>VLOOKUP(A22,'[2]2019'!$A$2:$H$24,8,0)</f>
        <v>113868.38999999998</v>
      </c>
      <c r="S22" s="2">
        <f>VLOOKUP(A22,'[2]2019'!$A$2:$I$24,9,0)</f>
        <v>84408.310000000027</v>
      </c>
      <c r="T22" s="8">
        <f t="shared" si="0"/>
        <v>26631287.369999703</v>
      </c>
      <c r="U22" s="8">
        <f t="shared" si="1"/>
        <v>31919.241753894967</v>
      </c>
      <c r="V22" s="8">
        <f t="shared" si="2"/>
        <v>87.449977407931414</v>
      </c>
    </row>
    <row r="23" spans="1:22" x14ac:dyDescent="0.25">
      <c r="A23" s="1" t="s">
        <v>105</v>
      </c>
      <c r="B23" s="6">
        <f>VLOOKUP(A23,[8]Ocupação!$E$4:$F$25,2,0)</f>
        <v>664.66666666666663</v>
      </c>
      <c r="C23" s="2" t="e">
        <f>VLOOKUP(A23,'[1]2019'!$A$2:$D$22,4,0)</f>
        <v>#N/A</v>
      </c>
      <c r="D23" s="2"/>
      <c r="E23" s="2"/>
      <c r="F23" s="2" t="str">
        <f>VLOOKUP(A23,'[3]2019'!$A$2:$H$24,8,0)</f>
        <v>NA</v>
      </c>
      <c r="G23" s="2" t="str">
        <f>VLOOKUP(A23,'[3]2019'!$A$2:$I$24,9,0)</f>
        <v>NA</v>
      </c>
      <c r="H23" s="2">
        <f>VLOOKUP(A23,'[6]2019'!$A$2:$E$24,5,0)</f>
        <v>31326.92</v>
      </c>
      <c r="I23" s="2">
        <f>VLOOKUP(A23,'[2]2019'!$A$2:$C$24,3,0)</f>
        <v>13.66</v>
      </c>
      <c r="J23" s="2">
        <f>VLOOKUP(A23,'[2]2019'!$A$2:$I$24,4,0)</f>
        <v>207.36999999999995</v>
      </c>
      <c r="K23" s="2">
        <f>VLOOKUP(A23,'[5]2019'!$A$2:$M$24,13,0)</f>
        <v>0</v>
      </c>
      <c r="L23" s="2">
        <f>VLOOKUP(A23,'[2]2019'!$A$2:$E$24,5,0)</f>
        <v>0</v>
      </c>
      <c r="M23" s="2" t="str">
        <f>VLOOKUP(A23,'[3]2019'!$A$2:$O$24,15,0)</f>
        <v>NA</v>
      </c>
      <c r="N23" s="2">
        <f>VLOOKUP(A23,'[2]2019'!$A$2:$F$24,6,0)</f>
        <v>25146.719999999998</v>
      </c>
      <c r="O23" s="2" t="str">
        <f>VLOOKUP(A23,'[7]2019'!$A$2:$C$24,3,0)</f>
        <v xml:space="preserve"> R$ -   </v>
      </c>
      <c r="P23" s="2">
        <f>VLOOKUP(A23,'[4]2019'!$A$2:$R$24,18,0)</f>
        <v>199089.5</v>
      </c>
      <c r="Q23" s="2">
        <f>VLOOKUP(A23,'[2]2019'!$A$2:$G$24,7,0)</f>
        <v>0</v>
      </c>
      <c r="R23" s="2">
        <f>VLOOKUP(A23,'[2]2019'!$A$2:$H$24,8,0)</f>
        <v>0</v>
      </c>
      <c r="S23" s="2">
        <f>VLOOKUP(A23,'[2]2019'!$A$2:$I$24,9,0)</f>
        <v>0</v>
      </c>
      <c r="T23" s="8" t="e">
        <f t="shared" si="0"/>
        <v>#N/A</v>
      </c>
      <c r="U23" s="8" t="e">
        <f t="shared" si="1"/>
        <v>#N/A</v>
      </c>
      <c r="V23" s="8" t="e">
        <f t="shared" si="2"/>
        <v>#N/A</v>
      </c>
    </row>
    <row r="24" spans="1:22" x14ac:dyDescent="0.25">
      <c r="A24" s="1" t="s">
        <v>109</v>
      </c>
      <c r="B24" s="6">
        <f>VLOOKUP(A24,[8]Ocupação!$E$4:$F$25,2,0)</f>
        <v>664.66666666666663</v>
      </c>
      <c r="C24" s="2" t="e">
        <f>VLOOKUP(A24,'[1]2019'!$A$2:$D$22,4,0)</f>
        <v>#N/A</v>
      </c>
      <c r="D24" s="2"/>
      <c r="E24" s="2"/>
      <c r="F24" s="2" t="str">
        <f>VLOOKUP(A24,'[3]2019'!$A$2:$H$24,8,0)</f>
        <v>NA</v>
      </c>
      <c r="G24" s="2" t="str">
        <f>VLOOKUP(A24,'[3]2019'!$A$2:$I$24,9,0)</f>
        <v>NA</v>
      </c>
      <c r="H24" s="2">
        <f>VLOOKUP(A24,'[6]2019'!$A$2:$E$24,5,0)</f>
        <v>0</v>
      </c>
      <c r="I24" s="2" t="str">
        <f>VLOOKUP(A24,'[2]2019'!$A$2:$C$24,3,0)</f>
        <v>N/A</v>
      </c>
      <c r="J24" s="2" t="str">
        <f>VLOOKUP(A24,'[2]2019'!$A$2:$I$24,4,0)</f>
        <v>N/A</v>
      </c>
      <c r="K24" s="2">
        <f>VLOOKUP(A24,'[5]2019'!$A$2:$M$24,13,0)</f>
        <v>0</v>
      </c>
      <c r="L24" s="2" t="str">
        <f>VLOOKUP(A24,'[2]2019'!$A$2:$E$24,5,0)</f>
        <v>N/A</v>
      </c>
      <c r="M24" s="2" t="str">
        <f>VLOOKUP(A24,'[3]2019'!$A$2:$O$24,15,0)</f>
        <v>NA</v>
      </c>
      <c r="N24" s="2" t="str">
        <f>VLOOKUP(A24,'[2]2019'!$A$2:$F$24,6,0)</f>
        <v>N/A</v>
      </c>
      <c r="O24" s="2" t="str">
        <f>VLOOKUP(A24,'[7]2019'!$A$2:$C$24,3,0)</f>
        <v xml:space="preserve"> R$ -   </v>
      </c>
      <c r="P24" s="2">
        <f>VLOOKUP(A24,'[4]2019'!$A$2:$R$24,18,0)</f>
        <v>0</v>
      </c>
      <c r="Q24" s="2" t="str">
        <f>VLOOKUP(A24,'[2]2019'!$A$2:$G$24,7,0)</f>
        <v>N/A</v>
      </c>
      <c r="R24" s="2" t="str">
        <f>VLOOKUP(A24,'[2]2019'!$A$2:$H$24,8,0)</f>
        <v>N/A</v>
      </c>
      <c r="S24" s="2" t="str">
        <f>VLOOKUP(A24,'[2]2019'!$A$2:$I$24,9,0)</f>
        <v>N/A</v>
      </c>
      <c r="T24" s="8" t="e">
        <f t="shared" si="0"/>
        <v>#N/A</v>
      </c>
      <c r="U24" s="8" t="e">
        <f t="shared" si="1"/>
        <v>#N/A</v>
      </c>
      <c r="V24" s="8" t="e">
        <f t="shared" si="2"/>
        <v>#N/A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D533-9D66-43F9-8EFE-F116EF2791E3}">
  <dimension ref="A1:V24"/>
  <sheetViews>
    <sheetView topLeftCell="J1" workbookViewId="0">
      <selection activeCell="V1" sqref="V1:V1048576"/>
    </sheetView>
  </sheetViews>
  <sheetFormatPr defaultRowHeight="15" x14ac:dyDescent="0.25"/>
  <cols>
    <col min="2" max="2" width="9.140625" style="6"/>
    <col min="3" max="3" width="16.85546875" bestFit="1" customWidth="1"/>
    <col min="6" max="6" width="14.28515625" bestFit="1" customWidth="1"/>
    <col min="7" max="7" width="13.28515625" bestFit="1" customWidth="1"/>
    <col min="8" max="8" width="15.85546875" bestFit="1" customWidth="1"/>
    <col min="9" max="10" width="13.28515625" bestFit="1" customWidth="1"/>
    <col min="11" max="11" width="16.85546875" bestFit="1" customWidth="1"/>
    <col min="12" max="13" width="13.28515625" bestFit="1" customWidth="1"/>
    <col min="14" max="14" width="14.28515625" bestFit="1" customWidth="1"/>
    <col min="15" max="15" width="13.28515625" bestFit="1" customWidth="1"/>
    <col min="16" max="16" width="15.85546875" bestFit="1" customWidth="1"/>
    <col min="17" max="17" width="14.28515625" bestFit="1" customWidth="1"/>
    <col min="18" max="19" width="15.85546875" bestFit="1" customWidth="1"/>
    <col min="20" max="20" width="16.85546875" bestFit="1" customWidth="1"/>
    <col min="21" max="21" width="14.28515625" bestFit="1" customWidth="1"/>
    <col min="22" max="22" width="10.5703125" bestFit="1" customWidth="1"/>
  </cols>
  <sheetData>
    <row r="1" spans="1:22" ht="157.5" x14ac:dyDescent="0.25">
      <c r="A1" s="1" t="s">
        <v>112</v>
      </c>
      <c r="C1" s="5" t="s">
        <v>132</v>
      </c>
      <c r="D1" s="3" t="s">
        <v>145</v>
      </c>
      <c r="E1" s="3" t="s">
        <v>146</v>
      </c>
      <c r="F1" s="3" t="s">
        <v>147</v>
      </c>
      <c r="G1" s="3" t="s">
        <v>148</v>
      </c>
      <c r="H1" s="3" t="s">
        <v>136</v>
      </c>
      <c r="I1" s="4" t="s">
        <v>126</v>
      </c>
      <c r="J1" s="4" t="s">
        <v>127</v>
      </c>
      <c r="K1" s="4" t="s">
        <v>137</v>
      </c>
      <c r="L1" s="4" t="s">
        <v>138</v>
      </c>
      <c r="M1" s="4" t="s">
        <v>139</v>
      </c>
      <c r="N1" s="4" t="s">
        <v>128</v>
      </c>
      <c r="O1" s="4" t="s">
        <v>149</v>
      </c>
      <c r="P1" s="4" t="s">
        <v>141</v>
      </c>
      <c r="Q1" s="4" t="s">
        <v>129</v>
      </c>
      <c r="R1" s="4" t="s">
        <v>130</v>
      </c>
      <c r="S1" s="4" t="s">
        <v>131</v>
      </c>
      <c r="T1" s="7" t="s">
        <v>151</v>
      </c>
      <c r="U1" s="7" t="s">
        <v>152</v>
      </c>
      <c r="V1" s="7" t="s">
        <v>153</v>
      </c>
    </row>
    <row r="2" spans="1:22" x14ac:dyDescent="0.25">
      <c r="A2" s="1" t="s">
        <v>0</v>
      </c>
      <c r="B2" s="6">
        <v>2456.8333333333335</v>
      </c>
      <c r="C2" s="2">
        <f>VLOOKUP(A2,'[1]2020'!$A$1:$D$22,4,0)</f>
        <v>7655672.3700000355</v>
      </c>
      <c r="D2" s="2"/>
      <c r="E2" s="2"/>
      <c r="F2" s="2">
        <f>VLOOKUP(A2,'[3]2020'!$A$2:$H$24,8,0)</f>
        <v>10690.05</v>
      </c>
      <c r="G2" s="2">
        <f>VLOOKUP(A2,'[3]2020'!$A$2:$I$24,9,0)</f>
        <v>13988.05</v>
      </c>
      <c r="H2" s="2">
        <f>VLOOKUP(A2,'[6]2020'!$A$2:$F$24,6,0)</f>
        <v>2227.8199999999997</v>
      </c>
      <c r="I2" s="2">
        <f>VLOOKUP(A2,'[2]2020'!$A$2:$C$24,3,0)</f>
        <v>3298.1099999999997</v>
      </c>
      <c r="J2" s="2">
        <f>VLOOKUP(A2,'[2]2020'!$A$2:$E$24,4,0)</f>
        <v>12400.529999999999</v>
      </c>
      <c r="K2" s="2">
        <f>VLOOKUP(A2,'[5]2020'!$A$2:$M$24,13,0)</f>
        <v>17401.55</v>
      </c>
      <c r="L2" s="2">
        <f>VLOOKUP(A2,'[2]2020'!$A$2:$E$24,5,0)</f>
        <v>0</v>
      </c>
      <c r="M2" s="2">
        <f>VLOOKUP(A2,'[3]2020'!$A$2:$O$24,15,0)</f>
        <v>13565.44</v>
      </c>
      <c r="N2" s="2">
        <f>VLOOKUP(A2,'[2]2020'!$A$2:$F$24,6,0)</f>
        <v>12582.819999999998</v>
      </c>
      <c r="O2" s="2">
        <f>VLOOKUP(A2,'[7]2020'!$A$2:$C$24,3,0)</f>
        <v>0</v>
      </c>
      <c r="P2" s="2">
        <f>VLOOKUP(A2,'[4]2020'!$A$2:$R$24,18,0)</f>
        <v>0</v>
      </c>
      <c r="Q2" s="2">
        <f>VLOOKUP(A2,'[2]2020'!$A$2:$G$24,7,0)</f>
        <v>2176.4499999999998</v>
      </c>
      <c r="R2" s="2">
        <f>VLOOKUP(A2,'[2]2020'!$A$2:$I$24,8,0)</f>
        <v>0</v>
      </c>
      <c r="S2" s="2">
        <f>VLOOKUP(A2,'[2]2020'!$A$2:$I$24,9,0)</f>
        <v>0</v>
      </c>
      <c r="T2" s="8">
        <f>SUM(C2:S2)</f>
        <v>7744003.1900000367</v>
      </c>
      <c r="U2" s="8">
        <f>T2/B2</f>
        <v>3152.0262628044379</v>
      </c>
      <c r="V2" s="8">
        <f>U2/365</f>
        <v>8.6356883912450346</v>
      </c>
    </row>
    <row r="3" spans="1:22" x14ac:dyDescent="0.25">
      <c r="A3" s="1" t="s">
        <v>7</v>
      </c>
      <c r="B3" s="6">
        <f>VLOOKUP(A3,[8]Ocupação!$E$27:$F$48,2,0)</f>
        <v>320.83333333333331</v>
      </c>
      <c r="C3" s="2">
        <f>VLOOKUP(A3,'[1]2020'!$A$1:$D$22,4,0)</f>
        <v>15326601.919999838</v>
      </c>
      <c r="D3" s="2"/>
      <c r="E3" s="2"/>
      <c r="F3" s="2">
        <f>VLOOKUP(A3,'[3]2020'!$A$2:$H$24,8,0)</f>
        <v>204274.05</v>
      </c>
      <c r="G3" s="2">
        <f>VLOOKUP(A3,'[3]2020'!$A$2:$I$24,9,0)</f>
        <v>16863.16</v>
      </c>
      <c r="H3" s="2">
        <f>VLOOKUP(A3,'[6]2020'!$A$2:$F$24,6,0)</f>
        <v>19598.879999999997</v>
      </c>
      <c r="I3" s="2">
        <f>VLOOKUP(A3,'[2]2020'!$A$2:$C$24,3,0)</f>
        <v>15096.279999999999</v>
      </c>
      <c r="J3" s="2">
        <f>VLOOKUP(A3,'[2]2020'!$A$2:$E$24,4,0)</f>
        <v>8838.32</v>
      </c>
      <c r="K3" s="2">
        <f>VLOOKUP(A3,'[5]2020'!$A$2:$M$24,13,0)</f>
        <v>0</v>
      </c>
      <c r="L3" s="2">
        <f>VLOOKUP(A3,'[2]2020'!$A$2:$E$24,5,0)</f>
        <v>0</v>
      </c>
      <c r="M3" s="2">
        <f>VLOOKUP(A3,'[3]2020'!$A$2:$O$24,15,0)</f>
        <v>0</v>
      </c>
      <c r="N3" s="2">
        <f>VLOOKUP(A3,'[2]2020'!$A$2:$F$24,6,0)</f>
        <v>30974.270000000004</v>
      </c>
      <c r="O3" s="2">
        <f>VLOOKUP(A3,'[7]2020'!$A$2:$C$24,3,0)</f>
        <v>8000</v>
      </c>
      <c r="P3" s="2">
        <f>VLOOKUP(A3,'[4]2020'!$A$2:$R$24,18,0)</f>
        <v>1360365.77</v>
      </c>
      <c r="Q3" s="2">
        <f>VLOOKUP(A3,'[2]2020'!$A$2:$G$24,7,0)</f>
        <v>54264.630000000005</v>
      </c>
      <c r="R3" s="2">
        <f>VLOOKUP(A3,'[2]2020'!$A$2:$I$24,8,0)</f>
        <v>58138.890000000007</v>
      </c>
      <c r="S3" s="2">
        <f>VLOOKUP(A3,'[2]2020'!$A$2:$I$24,9,0)</f>
        <v>70572.899999999965</v>
      </c>
      <c r="T3" s="8">
        <f t="shared" ref="T3:T24" si="0">SUM(C3:S3)</f>
        <v>17173589.069999836</v>
      </c>
      <c r="U3" s="8">
        <f t="shared" ref="U3:U24" si="1">T3/B3</f>
        <v>53528.069828570922</v>
      </c>
      <c r="V3" s="8">
        <f t="shared" ref="V3:V24" si="2">U3/365</f>
        <v>146.65224610567375</v>
      </c>
    </row>
    <row r="4" spans="1:22" x14ac:dyDescent="0.25">
      <c r="A4" s="1" t="s">
        <v>11</v>
      </c>
      <c r="B4" s="6">
        <f>VLOOKUP(A4,[8]Ocupação!$E$27:$F$48,2,0)</f>
        <v>543.66666666666663</v>
      </c>
      <c r="C4" s="2">
        <f>VLOOKUP(A4,'[1]2020'!$A$1:$D$22,4,0)</f>
        <v>13885613.979999747</v>
      </c>
      <c r="D4" s="2"/>
      <c r="E4" s="2"/>
      <c r="F4" s="2">
        <f>VLOOKUP(A4,'[3]2020'!$A$2:$H$24,8,0)</f>
        <v>137646.51999999999</v>
      </c>
      <c r="G4" s="2">
        <f>VLOOKUP(A4,'[3]2020'!$A$2:$I$24,9,0)</f>
        <v>13837.04</v>
      </c>
      <c r="H4" s="2">
        <f>VLOOKUP(A4,'[6]2020'!$A$2:$F$24,6,0)</f>
        <v>54362.96</v>
      </c>
      <c r="I4" s="2">
        <f>VLOOKUP(A4,'[2]2020'!$A$2:$C$24,3,0)</f>
        <v>18645.010000000002</v>
      </c>
      <c r="J4" s="2">
        <f>VLOOKUP(A4,'[2]2020'!$A$2:$E$24,4,0)</f>
        <v>15243.869999999999</v>
      </c>
      <c r="K4" s="2">
        <f>VLOOKUP(A4,'[5]2020'!$A$2:$M$24,13,0)</f>
        <v>0</v>
      </c>
      <c r="L4" s="2">
        <f>VLOOKUP(A4,'[2]2020'!$A$2:$E$24,5,0)</f>
        <v>0</v>
      </c>
      <c r="M4" s="2">
        <f>VLOOKUP(A4,'[3]2020'!$A$2:$O$24,15,0)</f>
        <v>6782.72</v>
      </c>
      <c r="N4" s="2">
        <f>VLOOKUP(A4,'[2]2020'!$A$2:$F$24,6,0)</f>
        <v>51419.54</v>
      </c>
      <c r="O4" s="2">
        <f>VLOOKUP(A4,'[7]2020'!$A$2:$C$24,3,0)</f>
        <v>8000</v>
      </c>
      <c r="P4" s="2">
        <f>VLOOKUP(A4,'[4]2020'!$A$2:$R$24,18,0)</f>
        <v>2415263.88</v>
      </c>
      <c r="Q4" s="2">
        <f>VLOOKUP(A4,'[2]2020'!$A$2:$G$24,7,0)</f>
        <v>34206.480000000003</v>
      </c>
      <c r="R4" s="2">
        <f>VLOOKUP(A4,'[2]2020'!$A$2:$I$24,8,0)</f>
        <v>60109.08</v>
      </c>
      <c r="S4" s="2">
        <f>VLOOKUP(A4,'[2]2020'!$A$2:$I$24,9,0)</f>
        <v>30965.549999999988</v>
      </c>
      <c r="T4" s="8">
        <f t="shared" si="0"/>
        <v>16732096.629999747</v>
      </c>
      <c r="U4" s="8">
        <f t="shared" si="1"/>
        <v>30776.38865113381</v>
      </c>
      <c r="V4" s="8">
        <f t="shared" si="2"/>
        <v>84.318873016804957</v>
      </c>
    </row>
    <row r="5" spans="1:22" x14ac:dyDescent="0.25">
      <c r="A5" s="1" t="s">
        <v>16</v>
      </c>
      <c r="B5" s="6">
        <f>VLOOKUP(A5,[8]Ocupação!$E$27:$F$48,2,0)</f>
        <v>1939.25</v>
      </c>
      <c r="C5" s="2">
        <f>VLOOKUP(A5,'[1]2020'!$A$1:$D$22,4,0)</f>
        <v>51521504.42999927</v>
      </c>
      <c r="D5" s="2"/>
      <c r="E5" s="2"/>
      <c r="F5" s="2">
        <f>VLOOKUP(A5,'[3]2020'!$A$2:$H$24,8,0)</f>
        <v>253914.83000000005</v>
      </c>
      <c r="G5" s="2">
        <f>VLOOKUP(A5,'[3]2020'!$A$2:$I$24,9,0)</f>
        <v>26512.550000000003</v>
      </c>
      <c r="H5" s="2">
        <f>VLOOKUP(A5,'[6]2020'!$A$2:$F$24,6,0)</f>
        <v>503970.85</v>
      </c>
      <c r="I5" s="2">
        <f>VLOOKUP(A5,'[2]2020'!$A$2:$C$24,3,0)</f>
        <v>34073.909999999989</v>
      </c>
      <c r="J5" s="2">
        <f>VLOOKUP(A5,'[2]2020'!$A$2:$E$24,4,0)</f>
        <v>20418.430000000008</v>
      </c>
      <c r="K5" s="2">
        <f>VLOOKUP(A5,'[5]2020'!$A$2:$M$24,13,0)</f>
        <v>276281.09000000003</v>
      </c>
      <c r="L5" s="2">
        <f>VLOOKUP(A5,'[2]2020'!$A$2:$E$24,5,0)</f>
        <v>3738.84</v>
      </c>
      <c r="M5" s="2">
        <f>VLOOKUP(A5,'[3]2020'!$A$2:$O$24,15,0)</f>
        <v>13444.33</v>
      </c>
      <c r="N5" s="2">
        <f>VLOOKUP(A5,'[2]2020'!$A$2:$F$24,6,0)</f>
        <v>217415.39999999994</v>
      </c>
      <c r="O5" s="2">
        <f>VLOOKUP(A5,'[7]2020'!$A$2:$C$24,3,0)</f>
        <v>17000</v>
      </c>
      <c r="P5" s="2">
        <f>VLOOKUP(A5,'[4]2020'!$A$2:$R$24,18,0)</f>
        <v>7987990.4199999999</v>
      </c>
      <c r="Q5" s="2">
        <f>VLOOKUP(A5,'[2]2020'!$A$2:$G$24,7,0)</f>
        <v>131826.5</v>
      </c>
      <c r="R5" s="2">
        <f>VLOOKUP(A5,'[2]2020'!$A$2:$I$24,8,0)</f>
        <v>331609.77</v>
      </c>
      <c r="S5" s="2">
        <f>VLOOKUP(A5,'[2]2020'!$A$2:$I$24,9,0)</f>
        <v>129317.15999999999</v>
      </c>
      <c r="T5" s="8">
        <f t="shared" si="0"/>
        <v>61469018.509999268</v>
      </c>
      <c r="U5" s="8">
        <f t="shared" si="1"/>
        <v>31697.315204331193</v>
      </c>
      <c r="V5" s="8">
        <f t="shared" si="2"/>
        <v>86.841959463921071</v>
      </c>
    </row>
    <row r="6" spans="1:22" x14ac:dyDescent="0.25">
      <c r="A6" s="1" t="s">
        <v>21</v>
      </c>
      <c r="B6" s="6">
        <f>VLOOKUP(A6,[8]Ocupação!$E$27:$F$48,2,0)</f>
        <v>726.08333333333337</v>
      </c>
      <c r="C6" s="2">
        <f>VLOOKUP(A6,'[1]2020'!$A$1:$D$22,4,0)</f>
        <v>15060429.859999934</v>
      </c>
      <c r="D6" s="2"/>
      <c r="E6" s="2"/>
      <c r="F6" s="2">
        <f>VLOOKUP(A6,'[3]2020'!$A$2:$H$24,8,0)</f>
        <v>139116.56000000003</v>
      </c>
      <c r="G6" s="2">
        <f>VLOOKUP(A6,'[3]2020'!$A$2:$I$24,9,0)</f>
        <v>13751.49</v>
      </c>
      <c r="H6" s="2">
        <f>VLOOKUP(A6,'[6]2020'!$A$2:$F$24,6,0)</f>
        <v>91154.99</v>
      </c>
      <c r="I6" s="2">
        <f>VLOOKUP(A6,'[2]2020'!$A$2:$C$24,3,0)</f>
        <v>15529.689999999997</v>
      </c>
      <c r="J6" s="2">
        <f>VLOOKUP(A6,'[2]2020'!$A$2:$E$24,4,0)</f>
        <v>14463.850000000004</v>
      </c>
      <c r="K6" s="2">
        <f>VLOOKUP(A6,'[5]2020'!$A$2:$M$24,13,0)</f>
        <v>0</v>
      </c>
      <c r="L6" s="2">
        <f>VLOOKUP(A6,'[2]2020'!$A$2:$E$24,5,0)</f>
        <v>0</v>
      </c>
      <c r="M6" s="2">
        <f>VLOOKUP(A6,'[3]2020'!$A$2:$O$24,15,0)</f>
        <v>6782.72</v>
      </c>
      <c r="N6" s="2">
        <f>VLOOKUP(A6,'[2]2020'!$A$2:$F$24,6,0)</f>
        <v>45573.48</v>
      </c>
      <c r="O6" s="2">
        <f>VLOOKUP(A6,'[7]2020'!$A$2:$C$24,3,0)</f>
        <v>5000</v>
      </c>
      <c r="P6" s="2">
        <f>VLOOKUP(A6,'[4]2020'!$A$2:$R$24,18,0)</f>
        <v>3374423.58</v>
      </c>
      <c r="Q6" s="2">
        <f>VLOOKUP(A6,'[2]2020'!$A$2:$G$24,7,0)</f>
        <v>37858.899999999994</v>
      </c>
      <c r="R6" s="2">
        <f>VLOOKUP(A6,'[2]2020'!$A$2:$I$24,8,0)</f>
        <v>1381921.0100000002</v>
      </c>
      <c r="S6" s="2">
        <f>VLOOKUP(A6,'[2]2020'!$A$2:$I$24,9,0)</f>
        <v>83100.539999999994</v>
      </c>
      <c r="T6" s="8">
        <f t="shared" si="0"/>
        <v>20269106.669999935</v>
      </c>
      <c r="U6" s="8">
        <f t="shared" si="1"/>
        <v>27915.675432112843</v>
      </c>
      <c r="V6" s="8">
        <f t="shared" si="2"/>
        <v>76.481302553733812</v>
      </c>
    </row>
    <row r="7" spans="1:22" x14ac:dyDescent="0.25">
      <c r="A7" s="1" t="s">
        <v>26</v>
      </c>
      <c r="B7" s="6">
        <f>VLOOKUP(A7,[8]Ocupação!$E$27:$F$48,2,0)</f>
        <v>1187.75</v>
      </c>
      <c r="C7" s="2">
        <f>VLOOKUP(A7,'[1]2020'!$A$1:$D$22,4,0)</f>
        <v>24483427.870000016</v>
      </c>
      <c r="D7" s="2"/>
      <c r="E7" s="2"/>
      <c r="F7" s="2">
        <f>VLOOKUP(A7,'[3]2020'!$A$2:$H$24,8,0)</f>
        <v>205516.49</v>
      </c>
      <c r="G7" s="2">
        <f>VLOOKUP(A7,'[3]2020'!$A$2:$I$24,9,0)</f>
        <v>25149.13</v>
      </c>
      <c r="H7" s="2">
        <f>VLOOKUP(A7,'[6]2020'!$A$2:$F$24,6,0)</f>
        <v>1475680.01</v>
      </c>
      <c r="I7" s="2">
        <f>VLOOKUP(A7,'[2]2020'!$A$2:$C$24,3,0)</f>
        <v>12909.499999999998</v>
      </c>
      <c r="J7" s="2">
        <f>VLOOKUP(A7,'[2]2020'!$A$2:$E$24,4,0)</f>
        <v>10875.57</v>
      </c>
      <c r="K7" s="2">
        <f>VLOOKUP(A7,'[5]2020'!$A$2:$M$24,13,0)</f>
        <v>498907.53</v>
      </c>
      <c r="L7" s="2">
        <f>VLOOKUP(A7,'[2]2020'!$A$2:$E$24,5,0)</f>
        <v>570.32000000000005</v>
      </c>
      <c r="M7" s="2">
        <f>VLOOKUP(A7,'[3]2020'!$A$2:$O$24,15,0)</f>
        <v>6782.72</v>
      </c>
      <c r="N7" s="2">
        <f>VLOOKUP(A7,'[2]2020'!$A$2:$F$24,6,0)</f>
        <v>128693.38999999998</v>
      </c>
      <c r="O7" s="2">
        <f>VLOOKUP(A7,'[7]2020'!$A$2:$C$24,3,0)</f>
        <v>18000</v>
      </c>
      <c r="P7" s="2">
        <f>VLOOKUP(A7,'[4]2020'!$A$2:$R$24,18,0)</f>
        <v>4572129.6900000004</v>
      </c>
      <c r="Q7" s="2">
        <f>VLOOKUP(A7,'[2]2020'!$A$2:$G$24,7,0)</f>
        <v>40754.5</v>
      </c>
      <c r="R7" s="2">
        <f>VLOOKUP(A7,'[2]2020'!$A$2:$I$24,8,0)</f>
        <v>280127</v>
      </c>
      <c r="S7" s="2">
        <f>VLOOKUP(A7,'[2]2020'!$A$2:$I$24,9,0)</f>
        <v>144765.00000000009</v>
      </c>
      <c r="T7" s="8">
        <f t="shared" si="0"/>
        <v>31904288.720000017</v>
      </c>
      <c r="U7" s="8">
        <f t="shared" si="1"/>
        <v>26861.114476952236</v>
      </c>
      <c r="V7" s="8">
        <f t="shared" si="2"/>
        <v>73.592094457403391</v>
      </c>
    </row>
    <row r="8" spans="1:22" x14ac:dyDescent="0.25">
      <c r="A8" s="1" t="s">
        <v>31</v>
      </c>
      <c r="B8" s="6">
        <f>VLOOKUP(A8,[8]Ocupação!$E$27:$F$48,2,0)</f>
        <v>1250.6666666666667</v>
      </c>
      <c r="C8" s="2">
        <f>VLOOKUP(A8,'[1]2020'!$A$1:$D$22,4,0)</f>
        <v>20186944.219999816</v>
      </c>
      <c r="D8" s="2"/>
      <c r="E8" s="2"/>
      <c r="F8" s="2">
        <f>VLOOKUP(A8,'[3]2020'!$A$2:$H$24,8,0)</f>
        <v>201718.83</v>
      </c>
      <c r="G8" s="2">
        <f>VLOOKUP(A8,'[3]2020'!$A$2:$I$24,9,0)</f>
        <v>13246.900000000001</v>
      </c>
      <c r="H8" s="2">
        <f>VLOOKUP(A8,'[6]2020'!$A$2:$F$24,6,0)</f>
        <v>452256.59</v>
      </c>
      <c r="I8" s="2">
        <f>VLOOKUP(A8,'[2]2020'!$A$2:$C$24,3,0)</f>
        <v>16240.760000000004</v>
      </c>
      <c r="J8" s="2">
        <f>VLOOKUP(A8,'[2]2020'!$A$2:$E$24,4,0)</f>
        <v>9414.6099999999988</v>
      </c>
      <c r="K8" s="2">
        <f>VLOOKUP(A8,'[5]2020'!$A$2:$M$24,13,0)</f>
        <v>0</v>
      </c>
      <c r="L8" s="2">
        <f>VLOOKUP(A8,'[2]2020'!$A$2:$E$24,5,0)</f>
        <v>175.16</v>
      </c>
      <c r="M8" s="2">
        <f>VLOOKUP(A8,'[3]2020'!$A$2:$O$24,15,0)</f>
        <v>6782.72</v>
      </c>
      <c r="N8" s="2">
        <f>VLOOKUP(A8,'[2]2020'!$A$2:$F$24,6,0)</f>
        <v>106231.18999999999</v>
      </c>
      <c r="O8" s="2">
        <f>VLOOKUP(A8,'[7]2020'!$A$2:$C$24,3,0)</f>
        <v>12000</v>
      </c>
      <c r="P8" s="2">
        <f>VLOOKUP(A8,'[4]2020'!$A$2:$R$24,18,0)</f>
        <v>4798954.0999999996</v>
      </c>
      <c r="Q8" s="2">
        <f>VLOOKUP(A8,'[2]2020'!$A$2:$G$24,7,0)</f>
        <v>66541.950000000012</v>
      </c>
      <c r="R8" s="2">
        <f>VLOOKUP(A8,'[2]2020'!$A$2:$I$24,8,0)</f>
        <v>326823.23</v>
      </c>
      <c r="S8" s="2">
        <f>VLOOKUP(A8,'[2]2020'!$A$2:$I$24,9,0)</f>
        <v>62415.079999999994</v>
      </c>
      <c r="T8" s="8">
        <f t="shared" si="0"/>
        <v>26259745.33999981</v>
      </c>
      <c r="U8" s="8">
        <f t="shared" si="1"/>
        <v>20996.598086353792</v>
      </c>
      <c r="V8" s="8">
        <f t="shared" si="2"/>
        <v>57.524926263982991</v>
      </c>
    </row>
    <row r="9" spans="1:22" x14ac:dyDescent="0.25">
      <c r="A9" s="1" t="s">
        <v>36</v>
      </c>
      <c r="B9" s="6">
        <f>VLOOKUP(A9,[8]Ocupação!$E$27:$F$48,2,0)</f>
        <v>546.5</v>
      </c>
      <c r="C9" s="2">
        <f>VLOOKUP(A9,'[1]2020'!$A$1:$D$22,4,0)</f>
        <v>25665550.969999876</v>
      </c>
      <c r="D9" s="2"/>
      <c r="E9" s="2"/>
      <c r="F9" s="2">
        <f>VLOOKUP(A9,'[3]2020'!$A$2:$H$24,8,0)</f>
        <v>5620.71</v>
      </c>
      <c r="G9" s="2">
        <f>VLOOKUP(A9,'[3]2020'!$A$2:$I$24,9,0)</f>
        <v>15584.8</v>
      </c>
      <c r="H9" s="2">
        <f>VLOOKUP(A9,'[6]2020'!$A$2:$F$24,6,0)</f>
        <v>14041.679999999997</v>
      </c>
      <c r="I9" s="2">
        <f>VLOOKUP(A9,'[2]2020'!$A$2:$C$24,3,0)</f>
        <v>16119.360000000002</v>
      </c>
      <c r="J9" s="2">
        <f>VLOOKUP(A9,'[2]2020'!$A$2:$E$24,4,0)</f>
        <v>11339.689999999999</v>
      </c>
      <c r="K9" s="2">
        <f>VLOOKUP(A9,'[5]2020'!$A$2:$M$24,13,0)</f>
        <v>0</v>
      </c>
      <c r="L9" s="2">
        <f>VLOOKUP(A9,'[2]2020'!$A$2:$E$24,5,0)</f>
        <v>1043</v>
      </c>
      <c r="M9" s="2">
        <f>VLOOKUP(A9,'[3]2020'!$A$2:$O$24,15,0)</f>
        <v>6661.61</v>
      </c>
      <c r="N9" s="2">
        <f>VLOOKUP(A9,'[2]2020'!$A$2:$F$24,6,0)</f>
        <v>224792.88</v>
      </c>
      <c r="O9" s="2">
        <f>VLOOKUP(A9,'[7]2020'!$A$2:$C$24,3,0)</f>
        <v>15000</v>
      </c>
      <c r="P9" s="2">
        <f>VLOOKUP(A9,'[4]2020'!$A$2:$R$24,18,0)</f>
        <v>2793043.95</v>
      </c>
      <c r="Q9" s="2">
        <f>VLOOKUP(A9,'[2]2020'!$A$2:$G$24,7,0)</f>
        <v>47723.549999999988</v>
      </c>
      <c r="R9" s="2">
        <f>VLOOKUP(A9,'[2]2020'!$A$2:$I$24,8,0)</f>
        <v>115588.19000000002</v>
      </c>
      <c r="S9" s="2">
        <f>VLOOKUP(A9,'[2]2020'!$A$2:$I$24,9,0)</f>
        <v>90415.709999999992</v>
      </c>
      <c r="T9" s="8">
        <f t="shared" si="0"/>
        <v>29022526.099999879</v>
      </c>
      <c r="U9" s="8">
        <f t="shared" si="1"/>
        <v>53106.177676120547</v>
      </c>
      <c r="V9" s="8">
        <f t="shared" si="2"/>
        <v>145.49637719485082</v>
      </c>
    </row>
    <row r="10" spans="1:22" x14ac:dyDescent="0.25">
      <c r="A10" s="1" t="s">
        <v>41</v>
      </c>
      <c r="B10" s="6">
        <f>VLOOKUP(A10,[8]Ocupação!$E$27:$F$48,2,0)</f>
        <v>912.5</v>
      </c>
      <c r="C10" s="2">
        <f>VLOOKUP(A10,'[1]2020'!$A$1:$D$22,4,0)</f>
        <v>21323538.709999796</v>
      </c>
      <c r="D10" s="2"/>
      <c r="E10" s="2"/>
      <c r="F10" s="2">
        <f>VLOOKUP(A10,'[3]2020'!$A$2:$H$24,8,0)</f>
        <v>4374.21</v>
      </c>
      <c r="G10" s="2">
        <f>VLOOKUP(A10,'[3]2020'!$A$2:$I$24,9,0)</f>
        <v>9916.08</v>
      </c>
      <c r="H10" s="2">
        <f>VLOOKUP(A10,'[6]2020'!$A$2:$F$24,6,0)</f>
        <v>5970.35</v>
      </c>
      <c r="I10" s="2">
        <f>VLOOKUP(A10,'[2]2020'!$A$2:$C$24,3,0)</f>
        <v>16236.809999999998</v>
      </c>
      <c r="J10" s="2">
        <f>VLOOKUP(A10,'[2]2020'!$A$2:$E$24,4,0)</f>
        <v>3802.14</v>
      </c>
      <c r="K10" s="2">
        <f>VLOOKUP(A10,'[5]2020'!$A$2:$M$24,13,0)</f>
        <v>0</v>
      </c>
      <c r="L10" s="2">
        <f>VLOOKUP(A10,'[2]2020'!$A$2:$E$24,5,0)</f>
        <v>0</v>
      </c>
      <c r="M10" s="2">
        <f>VLOOKUP(A10,'[3]2020'!$A$2:$O$24,15,0)</f>
        <v>6661.61</v>
      </c>
      <c r="N10" s="2">
        <f>VLOOKUP(A10,'[2]2020'!$A$2:$F$24,6,0)</f>
        <v>91298.47</v>
      </c>
      <c r="O10" s="2">
        <f>VLOOKUP(A10,'[7]2020'!$A$2:$C$24,3,0)</f>
        <v>2000</v>
      </c>
      <c r="P10" s="2">
        <f>VLOOKUP(A10,'[4]2020'!$A$2:$R$24,18,0)</f>
        <v>4185807.0900000003</v>
      </c>
      <c r="Q10" s="2">
        <f>VLOOKUP(A10,'[2]2020'!$A$2:$G$24,7,0)</f>
        <v>64645.15</v>
      </c>
      <c r="R10" s="2">
        <f>VLOOKUP(A10,'[2]2020'!$A$2:$I$24,8,0)</f>
        <v>92652.5</v>
      </c>
      <c r="S10" s="2">
        <f>VLOOKUP(A10,'[2]2020'!$A$2:$I$24,9,0)</f>
        <v>139715.41</v>
      </c>
      <c r="T10" s="8">
        <f t="shared" si="0"/>
        <v>25946618.529999793</v>
      </c>
      <c r="U10" s="8">
        <f t="shared" si="1"/>
        <v>28434.650443835388</v>
      </c>
      <c r="V10" s="8">
        <f t="shared" si="2"/>
        <v>77.903151900918871</v>
      </c>
    </row>
    <row r="11" spans="1:22" x14ac:dyDescent="0.25">
      <c r="A11" s="1" t="s">
        <v>44</v>
      </c>
      <c r="B11" s="6">
        <f>VLOOKUP(A11,[8]Ocupação!$E$27:$F$48,2,0)</f>
        <v>738.33333333333337</v>
      </c>
      <c r="C11" s="2">
        <f>VLOOKUP(A11,'[1]2020'!$A$1:$D$22,4,0)</f>
        <v>16468214.499999804</v>
      </c>
      <c r="D11" s="2"/>
      <c r="E11" s="2"/>
      <c r="F11" s="2">
        <f>VLOOKUP(A11,'[3]2020'!$A$2:$H$24,8,0)</f>
        <v>1647.5900000000001</v>
      </c>
      <c r="G11" s="2">
        <f>VLOOKUP(A11,'[3]2020'!$A$2:$I$24,9,0)</f>
        <v>14796.77</v>
      </c>
      <c r="H11" s="2">
        <f>VLOOKUP(A11,'[6]2020'!$A$2:$F$24,6,0)</f>
        <v>27694.27</v>
      </c>
      <c r="I11" s="2">
        <f>VLOOKUP(A11,'[2]2020'!$A$2:$C$24,3,0)</f>
        <v>15829.110000000002</v>
      </c>
      <c r="J11" s="2">
        <f>VLOOKUP(A11,'[2]2020'!$A$2:$E$24,4,0)</f>
        <v>8224.7300000000014</v>
      </c>
      <c r="K11" s="2">
        <f>VLOOKUP(A11,'[5]2020'!$A$2:$M$24,13,0)</f>
        <v>0</v>
      </c>
      <c r="L11" s="2">
        <f>VLOOKUP(A11,'[2]2020'!$A$2:$E$24,5,0)</f>
        <v>0</v>
      </c>
      <c r="M11" s="2">
        <f>VLOOKUP(A11,'[3]2020'!$A$2:$O$24,15,0)</f>
        <v>6782.72</v>
      </c>
      <c r="N11" s="2">
        <f>VLOOKUP(A11,'[2]2020'!$A$2:$F$24,6,0)</f>
        <v>76354.7</v>
      </c>
      <c r="O11" s="2">
        <f>VLOOKUP(A11,'[7]2020'!$A$2:$C$24,3,0)</f>
        <v>16000</v>
      </c>
      <c r="P11" s="2">
        <f>VLOOKUP(A11,'[4]2020'!$A$2:$R$24,18,0)</f>
        <v>3431737.68</v>
      </c>
      <c r="Q11" s="2">
        <f>VLOOKUP(A11,'[2]2020'!$A$2:$G$24,7,0)</f>
        <v>39757.369999999995</v>
      </c>
      <c r="R11" s="2">
        <f>VLOOKUP(A11,'[2]2020'!$A$2:$I$24,8,0)</f>
        <v>152784.59</v>
      </c>
      <c r="S11" s="2">
        <f>VLOOKUP(A11,'[2]2020'!$A$2:$I$24,9,0)</f>
        <v>50397.019999999982</v>
      </c>
      <c r="T11" s="8">
        <f t="shared" si="0"/>
        <v>20310221.049999803</v>
      </c>
      <c r="U11" s="8">
        <f t="shared" si="1"/>
        <v>27508.200067719823</v>
      </c>
      <c r="V11" s="8">
        <f t="shared" si="2"/>
        <v>75.364931692383081</v>
      </c>
    </row>
    <row r="12" spans="1:22" x14ac:dyDescent="0.25">
      <c r="A12" s="1" t="s">
        <v>50</v>
      </c>
      <c r="B12" s="6">
        <f>VLOOKUP(A12,[8]Ocupação!$E$27:$F$48,2,0)</f>
        <v>813.41666666666663</v>
      </c>
      <c r="C12" s="2">
        <f>VLOOKUP(A12,'[1]2020'!$A$1:$D$22,4,0)</f>
        <v>14262089.639999822</v>
      </c>
      <c r="D12" s="2"/>
      <c r="E12" s="2"/>
      <c r="F12" s="2">
        <f>VLOOKUP(A12,'[3]2020'!$A$2:$H$24,8,0)</f>
        <v>5970.78</v>
      </c>
      <c r="G12" s="2">
        <f>VLOOKUP(A12,'[3]2020'!$A$2:$I$24,9,0)</f>
        <v>35470.300000000003</v>
      </c>
      <c r="H12" s="2">
        <f>VLOOKUP(A12,'[6]2020'!$A$2:$F$24,6,0)</f>
        <v>193513.52</v>
      </c>
      <c r="I12" s="2">
        <f>VLOOKUP(A12,'[2]2020'!$A$2:$C$24,3,0)</f>
        <v>19412.949999999993</v>
      </c>
      <c r="J12" s="2">
        <f>VLOOKUP(A12,'[2]2020'!$A$2:$E$24,4,0)</f>
        <v>15368.959999999995</v>
      </c>
      <c r="K12" s="2">
        <f>VLOOKUP(A12,'[5]2020'!$A$2:$M$24,13,0)</f>
        <v>0</v>
      </c>
      <c r="L12" s="2">
        <f>VLOOKUP(A12,'[2]2020'!$A$2:$E$24,5,0)</f>
        <v>0</v>
      </c>
      <c r="M12" s="2">
        <f>VLOOKUP(A12,'[3]2020'!$A$2:$O$24,15,0)</f>
        <v>6782.72</v>
      </c>
      <c r="N12" s="2">
        <f>VLOOKUP(A12,'[2]2020'!$A$2:$F$24,6,0)</f>
        <v>20118.080000000002</v>
      </c>
      <c r="O12" s="2">
        <f>VLOOKUP(A12,'[7]2020'!$A$2:$C$24,3,0)</f>
        <v>0</v>
      </c>
      <c r="P12" s="2">
        <f>VLOOKUP(A12,'[4]2020'!$A$2:$R$24,18,0)</f>
        <v>3474988.41</v>
      </c>
      <c r="Q12" s="2">
        <f>VLOOKUP(A12,'[2]2020'!$A$2:$G$24,7,0)</f>
        <v>64444.680000000008</v>
      </c>
      <c r="R12" s="2">
        <f>VLOOKUP(A12,'[2]2020'!$A$2:$I$24,8,0)</f>
        <v>112993.30999999998</v>
      </c>
      <c r="S12" s="2">
        <f>VLOOKUP(A12,'[2]2020'!$A$2:$I$24,9,0)</f>
        <v>108940.77999999998</v>
      </c>
      <c r="T12" s="8">
        <f t="shared" si="0"/>
        <v>18320094.12999982</v>
      </c>
      <c r="U12" s="8">
        <f t="shared" si="1"/>
        <v>22522.398274766711</v>
      </c>
      <c r="V12" s="8">
        <f t="shared" si="2"/>
        <v>61.705200752785508</v>
      </c>
    </row>
    <row r="13" spans="1:22" x14ac:dyDescent="0.25">
      <c r="A13" s="1" t="s">
        <v>55</v>
      </c>
      <c r="B13" s="6">
        <f>VLOOKUP(A13,[8]Ocupação!$E$27:$F$48,2,0)</f>
        <v>1089</v>
      </c>
      <c r="C13" s="2">
        <f>VLOOKUP(A13,'[1]2020'!$A$1:$D$22,4,0)</f>
        <v>22805163.560000177</v>
      </c>
      <c r="D13" s="2"/>
      <c r="E13" s="2"/>
      <c r="F13" s="2">
        <f>VLOOKUP(A13,'[3]2020'!$A$2:$H$24,8,0)</f>
        <v>201542.13</v>
      </c>
      <c r="G13" s="2">
        <f>VLOOKUP(A13,'[3]2020'!$A$2:$I$24,9,0)</f>
        <v>16066.34</v>
      </c>
      <c r="H13" s="2">
        <f>VLOOKUP(A13,'[6]2020'!$A$2:$F$24,6,0)</f>
        <v>88516.69</v>
      </c>
      <c r="I13" s="2">
        <f>VLOOKUP(A13,'[2]2020'!$A$2:$C$24,3,0)</f>
        <v>15558.279999999999</v>
      </c>
      <c r="J13" s="2">
        <f>VLOOKUP(A13,'[2]2020'!$A$2:$E$24,4,0)</f>
        <v>11016.819999999998</v>
      </c>
      <c r="K13" s="2">
        <f>VLOOKUP(A13,'[5]2020'!$A$2:$M$24,13,0)</f>
        <v>0</v>
      </c>
      <c r="L13" s="2">
        <f>VLOOKUP(A13,'[2]2020'!$A$2:$E$24,5,0)</f>
        <v>448.18</v>
      </c>
      <c r="M13" s="2">
        <f>VLOOKUP(A13,'[3]2020'!$A$2:$O$24,15,0)</f>
        <v>12835.29</v>
      </c>
      <c r="N13" s="2">
        <f>VLOOKUP(A13,'[2]2020'!$A$2:$F$24,6,0)</f>
        <v>103190.85</v>
      </c>
      <c r="O13" s="2">
        <f>VLOOKUP(A13,'[7]2020'!$A$2:$C$24,3,0)</f>
        <v>8000</v>
      </c>
      <c r="P13" s="2">
        <f>VLOOKUP(A13,'[4]2020'!$A$2:$R$24,18,0)</f>
        <v>4089929.31</v>
      </c>
      <c r="Q13" s="2">
        <f>VLOOKUP(A13,'[2]2020'!$A$2:$G$24,7,0)</f>
        <v>49705.880000000005</v>
      </c>
      <c r="R13" s="2">
        <f>VLOOKUP(A13,'[2]2020'!$A$2:$I$24,8,0)</f>
        <v>174041.19</v>
      </c>
      <c r="S13" s="2">
        <f>VLOOKUP(A13,'[2]2020'!$A$2:$I$24,9,0)</f>
        <v>59387.4</v>
      </c>
      <c r="T13" s="8">
        <f t="shared" si="0"/>
        <v>27635401.920000177</v>
      </c>
      <c r="U13" s="8">
        <f t="shared" si="1"/>
        <v>25376.861267217791</v>
      </c>
      <c r="V13" s="8">
        <f t="shared" si="2"/>
        <v>69.525647307446008</v>
      </c>
    </row>
    <row r="14" spans="1:22" x14ac:dyDescent="0.25">
      <c r="A14" s="1" t="s">
        <v>60</v>
      </c>
      <c r="B14" s="6">
        <f>VLOOKUP(A14,[8]Ocupação!$E$27:$F$48,2,0)</f>
        <v>1097.4166666666667</v>
      </c>
      <c r="C14" s="2">
        <f>VLOOKUP(A14,'[1]2020'!$A$1:$D$22,4,0)</f>
        <v>16771203.839999547</v>
      </c>
      <c r="D14" s="2"/>
      <c r="E14" s="2"/>
      <c r="F14" s="2">
        <f>VLOOKUP(A14,'[3]2020'!$A$2:$H$24,8,0)</f>
        <v>207463.38999999998</v>
      </c>
      <c r="G14" s="2">
        <f>VLOOKUP(A14,'[3]2020'!$A$2:$I$24,9,0)</f>
        <v>15344.04</v>
      </c>
      <c r="H14" s="2">
        <f>VLOOKUP(A14,'[6]2020'!$A$2:$F$24,6,0)</f>
        <v>364507.35</v>
      </c>
      <c r="I14" s="2">
        <f>VLOOKUP(A14,'[2]2020'!$A$2:$C$24,3,0)</f>
        <v>18564.199999999997</v>
      </c>
      <c r="J14" s="2">
        <f>VLOOKUP(A14,'[2]2020'!$A$2:$E$24,4,0)</f>
        <v>14315.769999999997</v>
      </c>
      <c r="K14" s="2">
        <f>VLOOKUP(A14,'[5]2020'!$A$2:$M$24,13,0)</f>
        <v>0</v>
      </c>
      <c r="L14" s="2">
        <f>VLOOKUP(A14,'[2]2020'!$A$2:$E$24,5,0)</f>
        <v>0</v>
      </c>
      <c r="M14" s="2">
        <f>VLOOKUP(A14,'[3]2020'!$A$2:$O$24,15,0)</f>
        <v>12835.29</v>
      </c>
      <c r="N14" s="2">
        <f>VLOOKUP(A14,'[2]2020'!$A$2:$F$24,6,0)</f>
        <v>117491.82</v>
      </c>
      <c r="O14" s="2">
        <f>VLOOKUP(A14,'[7]2020'!$A$2:$C$24,3,0)</f>
        <v>12000</v>
      </c>
      <c r="P14" s="2">
        <f>VLOOKUP(A14,'[4]2020'!$A$2:$R$24,18,0)</f>
        <v>4267870.87</v>
      </c>
      <c r="Q14" s="2">
        <f>VLOOKUP(A14,'[2]2020'!$A$2:$G$24,7,0)</f>
        <v>66309.179999999993</v>
      </c>
      <c r="R14" s="2">
        <f>VLOOKUP(A14,'[2]2020'!$A$2:$I$24,8,0)</f>
        <v>142906.16999999998</v>
      </c>
      <c r="S14" s="2">
        <f>VLOOKUP(A14,'[2]2020'!$A$2:$I$24,9,0)</f>
        <v>84526.030000000013</v>
      </c>
      <c r="T14" s="8">
        <f t="shared" si="0"/>
        <v>22095337.949999548</v>
      </c>
      <c r="U14" s="8">
        <f t="shared" si="1"/>
        <v>20133.955152251088</v>
      </c>
      <c r="V14" s="8">
        <f t="shared" si="2"/>
        <v>55.161520965071475</v>
      </c>
    </row>
    <row r="15" spans="1:22" x14ac:dyDescent="0.25">
      <c r="A15" s="1" t="s">
        <v>65</v>
      </c>
      <c r="B15" s="6">
        <f>VLOOKUP(A15,[8]Ocupação!$E$27:$F$48,2,0)</f>
        <v>1434.25</v>
      </c>
      <c r="C15" s="2">
        <f>VLOOKUP(A15,'[1]2020'!$A$1:$D$22,4,0)</f>
        <v>37598007.59999983</v>
      </c>
      <c r="D15" s="2"/>
      <c r="E15" s="2"/>
      <c r="F15" s="2">
        <f>VLOOKUP(A15,'[3]2020'!$A$2:$H$24,8,0)</f>
        <v>244255.24000000005</v>
      </c>
      <c r="G15" s="2">
        <f>VLOOKUP(A15,'[3]2020'!$A$2:$I$24,9,0)</f>
        <v>33814.61</v>
      </c>
      <c r="H15" s="2">
        <f>VLOOKUP(A15,'[6]2020'!$A$2:$F$24,6,0)</f>
        <v>244023.4</v>
      </c>
      <c r="I15" s="2">
        <f>VLOOKUP(A15,'[2]2020'!$A$2:$C$24,3,0)</f>
        <v>25290.379999999994</v>
      </c>
      <c r="J15" s="2">
        <f>VLOOKUP(A15,'[2]2020'!$A$2:$E$24,4,0)</f>
        <v>20807.209999999995</v>
      </c>
      <c r="K15" s="2">
        <f>VLOOKUP(A15,'[5]2020'!$A$2:$M$24,13,0)</f>
        <v>0</v>
      </c>
      <c r="L15" s="2">
        <f>VLOOKUP(A15,'[2]2020'!$A$2:$E$24,5,0)</f>
        <v>90.13</v>
      </c>
      <c r="M15" s="2">
        <f>VLOOKUP(A15,'[3]2020'!$A$2:$O$24,15,0)</f>
        <v>12835.29</v>
      </c>
      <c r="N15" s="2">
        <f>VLOOKUP(A15,'[2]2020'!$A$2:$F$24,6,0)</f>
        <v>178675.66999999998</v>
      </c>
      <c r="O15" s="2">
        <f>VLOOKUP(A15,'[7]2020'!$A$2:$C$24,3,0)</f>
        <v>3000</v>
      </c>
      <c r="P15" s="2">
        <f>VLOOKUP(A15,'[4]2020'!$A$2:$R$24,18,0)</f>
        <v>5918434.3200000003</v>
      </c>
      <c r="Q15" s="2">
        <f>VLOOKUP(A15,'[2]2020'!$A$2:$G$24,7,0)</f>
        <v>112742.25000000001</v>
      </c>
      <c r="R15" s="2">
        <f>VLOOKUP(A15,'[2]2020'!$A$2:$I$24,8,0)</f>
        <v>348357.83999999991</v>
      </c>
      <c r="S15" s="2">
        <f>VLOOKUP(A15,'[2]2020'!$A$2:$I$24,9,0)</f>
        <v>42829.869999999995</v>
      </c>
      <c r="T15" s="8">
        <f t="shared" si="0"/>
        <v>44783163.809999838</v>
      </c>
      <c r="U15" s="8">
        <f t="shared" si="1"/>
        <v>31224.098873975832</v>
      </c>
      <c r="V15" s="8">
        <f t="shared" si="2"/>
        <v>85.545476367057077</v>
      </c>
    </row>
    <row r="16" spans="1:22" x14ac:dyDescent="0.25">
      <c r="A16" s="1" t="s">
        <v>70</v>
      </c>
      <c r="B16" s="6">
        <f>VLOOKUP(A16,[8]Ocupação!$E$27:$F$48,2,0)</f>
        <v>618.25</v>
      </c>
      <c r="C16" s="2">
        <f>VLOOKUP(A16,'[1]2020'!$A$1:$D$22,4,0)</f>
        <v>22500162.570000008</v>
      </c>
      <c r="D16" s="2"/>
      <c r="E16" s="2"/>
      <c r="F16" s="2">
        <f>VLOOKUP(A16,'[3]2020'!$A$2:$H$24,8,0)</f>
        <v>203151.25</v>
      </c>
      <c r="G16" s="2">
        <f>VLOOKUP(A16,'[3]2020'!$A$2:$I$24,9,0)</f>
        <v>30061.59</v>
      </c>
      <c r="H16" s="2">
        <f>VLOOKUP(A16,'[6]2020'!$A$2:$F$24,6,0)</f>
        <v>317838.94</v>
      </c>
      <c r="I16" s="2">
        <f>VLOOKUP(A16,'[2]2020'!$A$2:$C$24,3,0)</f>
        <v>16622.29</v>
      </c>
      <c r="J16" s="2">
        <f>VLOOKUP(A16,'[2]2020'!$A$2:$E$24,4,0)</f>
        <v>6345.9000000000015</v>
      </c>
      <c r="K16" s="2">
        <f>VLOOKUP(A16,'[5]2020'!$A$2:$M$24,13,0)</f>
        <v>799601.99</v>
      </c>
      <c r="L16" s="2">
        <f>VLOOKUP(A16,'[2]2020'!$A$2:$E$24,5,0)</f>
        <v>586.79</v>
      </c>
      <c r="M16" s="2">
        <f>VLOOKUP(A16,'[3]2020'!$A$2:$O$24,15,0)</f>
        <v>12835.29</v>
      </c>
      <c r="N16" s="2">
        <f>VLOOKUP(A16,'[2]2020'!$A$2:$F$24,6,0)</f>
        <v>29863.07</v>
      </c>
      <c r="O16" s="2">
        <f>VLOOKUP(A16,'[7]2020'!$A$2:$C$24,3,0)</f>
        <v>18000</v>
      </c>
      <c r="P16" s="2">
        <f>VLOOKUP(A16,'[4]2020'!$A$2:$R$24,18,0)</f>
        <v>2363194.02</v>
      </c>
      <c r="Q16" s="2">
        <f>VLOOKUP(A16,'[2]2020'!$A$2:$G$24,7,0)</f>
        <v>49836.899999999994</v>
      </c>
      <c r="R16" s="2">
        <f>VLOOKUP(A16,'[2]2020'!$A$2:$I$24,8,0)</f>
        <v>320215.88000000006</v>
      </c>
      <c r="S16" s="2">
        <f>VLOOKUP(A16,'[2]2020'!$A$2:$I$24,9,0)</f>
        <v>89338.25999999998</v>
      </c>
      <c r="T16" s="8">
        <f t="shared" si="0"/>
        <v>26757654.740000002</v>
      </c>
      <c r="U16" s="8">
        <f t="shared" si="1"/>
        <v>43279.667998382538</v>
      </c>
      <c r="V16" s="8">
        <f t="shared" si="2"/>
        <v>118.57443287228092</v>
      </c>
    </row>
    <row r="17" spans="1:22" x14ac:dyDescent="0.25">
      <c r="A17" s="1" t="s">
        <v>75</v>
      </c>
      <c r="B17" s="6">
        <f>VLOOKUP(A17,[8]Ocupação!$E$27:$F$48,2,0)</f>
        <v>483.5</v>
      </c>
      <c r="C17" s="2">
        <f>VLOOKUP(A17,'[1]2020'!$A$1:$D$22,4,0)</f>
        <v>18034551.540000007</v>
      </c>
      <c r="D17" s="2"/>
      <c r="E17" s="2"/>
      <c r="F17" s="2">
        <f>VLOOKUP(A17,'[3]2020'!$A$2:$H$24,8,0)</f>
        <v>200747.6</v>
      </c>
      <c r="G17" s="2">
        <f>VLOOKUP(A17,'[3]2020'!$A$2:$I$24,9,0)</f>
        <v>36026.25</v>
      </c>
      <c r="H17" s="2">
        <f>VLOOKUP(A17,'[6]2020'!$A$2:$F$24,6,0)</f>
        <v>504636.37</v>
      </c>
      <c r="I17" s="2">
        <f>VLOOKUP(A17,'[2]2020'!$A$2:$C$24,3,0)</f>
        <v>9156.02</v>
      </c>
      <c r="J17" s="2">
        <f>VLOOKUP(A17,'[2]2020'!$A$2:$E$24,4,0)</f>
        <v>2888.0600000000004</v>
      </c>
      <c r="K17" s="2">
        <f>VLOOKUP(A17,'[5]2020'!$A$2:$M$24,13,0)</f>
        <v>0</v>
      </c>
      <c r="L17" s="2">
        <f>VLOOKUP(A17,'[2]2020'!$A$2:$E$24,5,0)</f>
        <v>980.81999999999994</v>
      </c>
      <c r="M17" s="2">
        <f>VLOOKUP(A17,'[3]2020'!$A$2:$O$24,15,0)</f>
        <v>6782.72</v>
      </c>
      <c r="N17" s="2">
        <f>VLOOKUP(A17,'[2]2020'!$A$2:$F$24,6,0)</f>
        <v>57851.95</v>
      </c>
      <c r="O17" s="2">
        <f>VLOOKUP(A17,'[7]2020'!$A$2:$C$24,3,0)</f>
        <v>8000</v>
      </c>
      <c r="P17" s="2">
        <f>VLOOKUP(A17,'[4]2020'!$A$2:$R$24,18,0)</f>
        <v>2384924.16</v>
      </c>
      <c r="Q17" s="2">
        <f>VLOOKUP(A17,'[2]2020'!$A$2:$G$24,7,0)</f>
        <v>36751.520000000004</v>
      </c>
      <c r="R17" s="2">
        <f>VLOOKUP(A17,'[2]2020'!$A$2:$I$24,8,0)</f>
        <v>147831.95000000001</v>
      </c>
      <c r="S17" s="2">
        <f>VLOOKUP(A17,'[2]2020'!$A$2:$I$24,9,0)</f>
        <v>18257.890000000003</v>
      </c>
      <c r="T17" s="8">
        <f t="shared" si="0"/>
        <v>21449386.850000005</v>
      </c>
      <c r="U17" s="8">
        <f t="shared" si="1"/>
        <v>44362.7442605998</v>
      </c>
      <c r="V17" s="8">
        <f t="shared" si="2"/>
        <v>121.5417650975337</v>
      </c>
    </row>
    <row r="18" spans="1:22" x14ac:dyDescent="0.25">
      <c r="A18" s="1" t="s">
        <v>80</v>
      </c>
      <c r="B18" s="6">
        <f>VLOOKUP(A18,[8]Ocupação!$E$27:$F$48,2,0)</f>
        <v>262.83333333333331</v>
      </c>
      <c r="C18" s="2">
        <f>VLOOKUP(A18,'[1]2020'!$A$1:$D$22,4,0)</f>
        <v>18958148.489999972</v>
      </c>
      <c r="D18" s="2"/>
      <c r="E18" s="2"/>
      <c r="F18" s="2">
        <f>VLOOKUP(A18,'[3]2020'!$A$2:$H$24,8,0)</f>
        <v>139457.74000000002</v>
      </c>
      <c r="G18" s="2">
        <f>VLOOKUP(A18,'[3]2020'!$A$2:$I$24,9,0)</f>
        <v>14291.77</v>
      </c>
      <c r="H18" s="2">
        <f>VLOOKUP(A18,'[6]2020'!$A$2:$F$24,6,0)</f>
        <v>563017</v>
      </c>
      <c r="I18" s="2">
        <f>VLOOKUP(A18,'[2]2020'!$A$2:$C$24,3,0)</f>
        <v>14242.539999999995</v>
      </c>
      <c r="J18" s="2">
        <f>VLOOKUP(A18,'[2]2020'!$A$2:$E$24,4,0)</f>
        <v>13220.14</v>
      </c>
      <c r="K18" s="2">
        <f>VLOOKUP(A18,'[5]2020'!$A$2:$M$24,13,0)</f>
        <v>0</v>
      </c>
      <c r="L18" s="2">
        <f>VLOOKUP(A18,'[2]2020'!$A$2:$E$24,5,0)</f>
        <v>0</v>
      </c>
      <c r="M18" s="2">
        <f>VLOOKUP(A18,'[3]2020'!$A$2:$O$24,15,0)</f>
        <v>6782.72</v>
      </c>
      <c r="N18" s="2">
        <f>VLOOKUP(A18,'[2]2020'!$A$2:$F$24,6,0)</f>
        <v>53474.080000000002</v>
      </c>
      <c r="O18" s="2">
        <f>VLOOKUP(A18,'[7]2020'!$A$2:$C$24,3,0)</f>
        <v>21000</v>
      </c>
      <c r="P18" s="2">
        <f>VLOOKUP(A18,'[4]2020'!$A$2:$R$24,18,0)</f>
        <v>1280211.98</v>
      </c>
      <c r="Q18" s="2">
        <f>VLOOKUP(A18,'[2]2020'!$A$2:$G$24,7,0)</f>
        <v>19338.949999999997</v>
      </c>
      <c r="R18" s="2">
        <f>VLOOKUP(A18,'[2]2020'!$A$2:$I$24,8,0)</f>
        <v>565556.57999999996</v>
      </c>
      <c r="S18" s="2">
        <f>VLOOKUP(A18,'[2]2020'!$A$2:$I$24,9,0)</f>
        <v>33943.180000000015</v>
      </c>
      <c r="T18" s="8">
        <f t="shared" si="0"/>
        <v>21682685.169999965</v>
      </c>
      <c r="U18" s="8">
        <f t="shared" si="1"/>
        <v>82495.948649334052</v>
      </c>
      <c r="V18" s="8">
        <f t="shared" si="2"/>
        <v>226.01629766940837</v>
      </c>
    </row>
    <row r="19" spans="1:22" x14ac:dyDescent="0.25">
      <c r="A19" s="1" t="s">
        <v>85</v>
      </c>
      <c r="B19" s="6">
        <f>VLOOKUP(A19,[8]Ocupação!$E$27:$F$48,2,0)</f>
        <v>1166.8333333333333</v>
      </c>
      <c r="C19" s="2">
        <f>VLOOKUP(A19,'[1]2020'!$A$1:$D$22,4,0)</f>
        <v>19655080.450000096</v>
      </c>
      <c r="D19" s="2"/>
      <c r="E19" s="2"/>
      <c r="F19" s="2">
        <f>VLOOKUP(A19,'[3]2020'!$A$2:$H$24,8,0)</f>
        <v>204785.99</v>
      </c>
      <c r="G19" s="2">
        <f>VLOOKUP(A19,'[3]2020'!$A$2:$I$24,9,0)</f>
        <v>19371.989999999998</v>
      </c>
      <c r="H19" s="2">
        <f>VLOOKUP(A19,'[6]2020'!$A$2:$F$24,6,0)</f>
        <v>413653.04</v>
      </c>
      <c r="I19" s="2">
        <f>VLOOKUP(A19,'[2]2020'!$A$2:$C$24,3,0)</f>
        <v>8128.3600000000015</v>
      </c>
      <c r="J19" s="2">
        <f>VLOOKUP(A19,'[2]2020'!$A$2:$E$24,4,0)</f>
        <v>11945.359999999995</v>
      </c>
      <c r="K19" s="2">
        <f>VLOOKUP(A19,'[5]2020'!$A$2:$M$24,13,0)</f>
        <v>0</v>
      </c>
      <c r="L19" s="2">
        <f>VLOOKUP(A19,'[2]2020'!$A$2:$E$24,5,0)</f>
        <v>38.130000000000003</v>
      </c>
      <c r="M19" s="2">
        <f>VLOOKUP(A19,'[3]2020'!$A$2:$O$24,15,0)</f>
        <v>6782.72</v>
      </c>
      <c r="N19" s="2">
        <f>VLOOKUP(A19,'[2]2020'!$A$2:$F$24,6,0)</f>
        <v>77093.150000000009</v>
      </c>
      <c r="O19" s="2">
        <f>VLOOKUP(A19,'[7]2020'!$A$2:$C$24,3,0)</f>
        <v>16000</v>
      </c>
      <c r="P19" s="2">
        <f>VLOOKUP(A19,'[4]2020'!$A$2:$R$24,18,0)</f>
        <v>4829643.87</v>
      </c>
      <c r="Q19" s="2">
        <f>VLOOKUP(A19,'[2]2020'!$A$2:$G$24,7,0)</f>
        <v>54237.869999999995</v>
      </c>
      <c r="R19" s="2">
        <f>VLOOKUP(A19,'[2]2020'!$A$2:$I$24,8,0)</f>
        <v>117494.58999999998</v>
      </c>
      <c r="S19" s="2">
        <f>VLOOKUP(A19,'[2]2020'!$A$2:$I$24,9,0)</f>
        <v>55323.000000000036</v>
      </c>
      <c r="T19" s="8">
        <f t="shared" si="0"/>
        <v>25469578.520000089</v>
      </c>
      <c r="U19" s="8">
        <f t="shared" si="1"/>
        <v>21827.949024425161</v>
      </c>
      <c r="V19" s="8">
        <f t="shared" si="2"/>
        <v>59.802600066918252</v>
      </c>
    </row>
    <row r="20" spans="1:22" x14ac:dyDescent="0.25">
      <c r="A20" s="1" t="s">
        <v>90</v>
      </c>
      <c r="B20" s="6">
        <f>VLOOKUP(A20,[8]Ocupação!$E$27:$F$48,2,0)</f>
        <v>1416.9166666666667</v>
      </c>
      <c r="C20" s="2">
        <f>VLOOKUP(A20,'[1]2020'!$A$1:$D$22,4,0)</f>
        <v>20335796.859999899</v>
      </c>
      <c r="D20" s="2"/>
      <c r="E20" s="2"/>
      <c r="F20" s="2">
        <f>VLOOKUP(A20,'[3]2020'!$A$2:$H$24,8,0)</f>
        <v>8005.26</v>
      </c>
      <c r="G20" s="2">
        <f>VLOOKUP(A20,'[3]2020'!$A$2:$I$24,9,0)</f>
        <v>76210.240000000005</v>
      </c>
      <c r="H20" s="2">
        <f>VLOOKUP(A20,'[6]2020'!$A$2:$F$24,6,0)</f>
        <v>86074.94</v>
      </c>
      <c r="I20" s="2">
        <f>VLOOKUP(A20,'[2]2020'!$A$2:$C$24,3,0)</f>
        <v>24739.709999999995</v>
      </c>
      <c r="J20" s="2">
        <f>VLOOKUP(A20,'[2]2020'!$A$2:$E$24,4,0)</f>
        <v>18539.28</v>
      </c>
      <c r="K20" s="2">
        <f>VLOOKUP(A20,'[5]2020'!$A$2:$M$24,13,0)</f>
        <v>0</v>
      </c>
      <c r="L20" s="2">
        <f>VLOOKUP(A20,'[2]2020'!$A$2:$E$24,5,0)</f>
        <v>16.88</v>
      </c>
      <c r="M20" s="2">
        <f>VLOOKUP(A20,'[3]2020'!$A$2:$O$24,15,0)</f>
        <v>6782.72</v>
      </c>
      <c r="N20" s="2">
        <f>VLOOKUP(A20,'[2]2020'!$A$2:$F$24,6,0)</f>
        <v>205417.63000000003</v>
      </c>
      <c r="O20" s="2">
        <f>VLOOKUP(A20,'[7]2020'!$A$2:$C$24,3,0)</f>
        <v>10000</v>
      </c>
      <c r="P20" s="2">
        <f>VLOOKUP(A20,'[4]2020'!$A$2:$R$24,18,0)</f>
        <v>5307375.84</v>
      </c>
      <c r="Q20" s="2">
        <f>VLOOKUP(A20,'[2]2020'!$A$2:$G$24,7,0)</f>
        <v>98317.699999999983</v>
      </c>
      <c r="R20" s="2">
        <f>VLOOKUP(A20,'[2]2020'!$A$2:$I$24,8,0)</f>
        <v>228372.33</v>
      </c>
      <c r="S20" s="2">
        <f>VLOOKUP(A20,'[2]2020'!$A$2:$I$24,9,0)</f>
        <v>73696.459999999992</v>
      </c>
      <c r="T20" s="8">
        <f t="shared" si="0"/>
        <v>26479345.849999897</v>
      </c>
      <c r="U20" s="8">
        <f t="shared" si="1"/>
        <v>18688.00506969351</v>
      </c>
      <c r="V20" s="8">
        <f t="shared" si="2"/>
        <v>51.20001388957126</v>
      </c>
    </row>
    <row r="21" spans="1:22" x14ac:dyDescent="0.25">
      <c r="A21" s="1" t="s">
        <v>95</v>
      </c>
      <c r="B21" s="6">
        <f>VLOOKUP(A21,[8]Ocupação!$E$27:$F$48,2,0)</f>
        <v>524.41666666666663</v>
      </c>
      <c r="C21" s="2">
        <f>VLOOKUP(A21,'[1]2020'!$A$1:$D$22,4,0)</f>
        <v>13497426.549999908</v>
      </c>
      <c r="D21" s="2"/>
      <c r="E21" s="2"/>
      <c r="F21" s="2">
        <f>VLOOKUP(A21,'[3]2020'!$A$2:$H$24,8,0)</f>
        <v>5655.75</v>
      </c>
      <c r="G21" s="2">
        <f>VLOOKUP(A21,'[3]2020'!$A$2:$I$24,9,0)</f>
        <v>39348.93</v>
      </c>
      <c r="H21" s="2">
        <f>VLOOKUP(A21,'[6]2020'!$A$2:$F$24,6,0)</f>
        <v>299266.78000000003</v>
      </c>
      <c r="I21" s="2">
        <f>VLOOKUP(A21,'[2]2020'!$A$2:$C$24,3,0)</f>
        <v>9429.399999999996</v>
      </c>
      <c r="J21" s="2">
        <f>VLOOKUP(A21,'[2]2020'!$A$2:$E$24,4,0)</f>
        <v>6869.3000000000011</v>
      </c>
      <c r="K21" s="2">
        <f>VLOOKUP(A21,'[5]2020'!$A$2:$M$24,13,0)</f>
        <v>0</v>
      </c>
      <c r="L21" s="2">
        <f>VLOOKUP(A21,'[2]2020'!$A$2:$E$24,5,0)</f>
        <v>1467.26</v>
      </c>
      <c r="M21" s="2">
        <f>VLOOKUP(A21,'[3]2020'!$A$2:$O$24,15,0)</f>
        <v>6782.72</v>
      </c>
      <c r="N21" s="2">
        <f>VLOOKUP(A21,'[2]2020'!$A$2:$F$24,6,0)</f>
        <v>147834.46</v>
      </c>
      <c r="O21" s="2">
        <f>VLOOKUP(A21,'[7]2020'!$A$2:$C$24,3,0)</f>
        <v>0</v>
      </c>
      <c r="P21" s="2">
        <f>VLOOKUP(A21,'[4]2020'!$A$2:$R$24,18,0)</f>
        <v>2215321.85</v>
      </c>
      <c r="Q21" s="2">
        <f>VLOOKUP(A21,'[2]2020'!$A$2:$G$24,7,0)</f>
        <v>35013.949999999997</v>
      </c>
      <c r="R21" s="2">
        <f>VLOOKUP(A21,'[2]2020'!$A$2:$I$24,8,0)</f>
        <v>108860.51000000001</v>
      </c>
      <c r="S21" s="2">
        <f>VLOOKUP(A21,'[2]2020'!$A$2:$I$24,9,0)</f>
        <v>67857.920000000013</v>
      </c>
      <c r="T21" s="8">
        <f t="shared" si="0"/>
        <v>16441135.379999908</v>
      </c>
      <c r="U21" s="8">
        <f t="shared" si="1"/>
        <v>31351.283101859033</v>
      </c>
      <c r="V21" s="8">
        <f t="shared" si="2"/>
        <v>85.893926306463101</v>
      </c>
    </row>
    <row r="22" spans="1:22" x14ac:dyDescent="0.25">
      <c r="A22" s="1" t="s">
        <v>100</v>
      </c>
      <c r="B22" s="6">
        <f>VLOOKUP(A22,[8]Ocupação!$E$27:$F$48,2,0)</f>
        <v>909</v>
      </c>
      <c r="C22" s="2">
        <f>VLOOKUP(A22,'[1]2020'!$A$1:$D$22,4,0)</f>
        <v>24385056.479999904</v>
      </c>
      <c r="D22" s="2"/>
      <c r="E22" s="2"/>
      <c r="F22" s="2">
        <f>VLOOKUP(A22,'[3]2020'!$A$2:$H$24,8,0)</f>
        <v>5081.6299999999992</v>
      </c>
      <c r="G22" s="2">
        <f>VLOOKUP(A22,'[3]2020'!$A$2:$I$24,9,0)</f>
        <v>57904.93</v>
      </c>
      <c r="H22" s="2">
        <f>VLOOKUP(A22,'[6]2020'!$A$2:$F$24,6,0)</f>
        <v>497456.12</v>
      </c>
      <c r="I22" s="2">
        <f>VLOOKUP(A22,'[2]2020'!$A$2:$C$24,3,0)</f>
        <v>18848.349999999999</v>
      </c>
      <c r="J22" s="2">
        <f>VLOOKUP(A22,'[2]2020'!$A$2:$E$24,4,0)</f>
        <v>8968.31</v>
      </c>
      <c r="K22" s="2">
        <f>VLOOKUP(A22,'[5]2020'!$A$2:$M$24,13,0)</f>
        <v>0</v>
      </c>
      <c r="L22" s="2">
        <f>VLOOKUP(A22,'[2]2020'!$A$2:$E$24,5,0)</f>
        <v>206.96</v>
      </c>
      <c r="M22" s="2">
        <f>VLOOKUP(A22,'[3]2020'!$A$2:$O$24,15,0)</f>
        <v>6782.72</v>
      </c>
      <c r="N22" s="2">
        <f>VLOOKUP(A22,'[2]2020'!$A$2:$F$24,6,0)</f>
        <v>71913.279999999999</v>
      </c>
      <c r="O22" s="2">
        <f>VLOOKUP(A22,'[7]2020'!$A$2:$C$24,3,0)</f>
        <v>27000</v>
      </c>
      <c r="P22" s="2">
        <f>VLOOKUP(A22,'[4]2020'!$A$2:$R$24,18,0)</f>
        <v>4035294.91</v>
      </c>
      <c r="Q22" s="2">
        <f>VLOOKUP(A22,'[2]2020'!$A$2:$G$24,7,0)</f>
        <v>50524.28</v>
      </c>
      <c r="R22" s="2">
        <f>VLOOKUP(A22,'[2]2020'!$A$2:$I$24,8,0)</f>
        <v>101533.4</v>
      </c>
      <c r="S22" s="2">
        <f>VLOOKUP(A22,'[2]2020'!$A$2:$I$24,9,0)</f>
        <v>50089.410000000011</v>
      </c>
      <c r="T22" s="8">
        <f t="shared" si="0"/>
        <v>29316660.779999904</v>
      </c>
      <c r="U22" s="8">
        <f t="shared" si="1"/>
        <v>32251.552013201213</v>
      </c>
      <c r="V22" s="8">
        <f t="shared" si="2"/>
        <v>88.360416474523873</v>
      </c>
    </row>
    <row r="23" spans="1:22" x14ac:dyDescent="0.25">
      <c r="A23" s="1" t="s">
        <v>105</v>
      </c>
      <c r="B23" s="6">
        <f>VLOOKUP(A23,[8]Ocupação!$E$27:$F$48,2,0)</f>
        <v>667.16666666666663</v>
      </c>
      <c r="C23" s="2" t="e">
        <f>VLOOKUP(A23,'[1]2020'!$A$1:$D$22,4,0)</f>
        <v>#N/A</v>
      </c>
      <c r="D23" s="2"/>
      <c r="E23" s="2"/>
      <c r="F23" s="2" t="str">
        <f>VLOOKUP(A23,'[3]2020'!$A$2:$H$24,8,0)</f>
        <v>NA</v>
      </c>
      <c r="G23" s="2" t="str">
        <f>VLOOKUP(A23,'[3]2020'!$A$2:$I$24,9,0)</f>
        <v>NA</v>
      </c>
      <c r="H23" s="2">
        <f>VLOOKUP(A23,'[6]2020'!$A$2:$F$24,6,0)</f>
        <v>95412.490000000093</v>
      </c>
      <c r="I23" s="2">
        <f>VLOOKUP(A23,'[2]2020'!$A$2:$C$24,3,0)</f>
        <v>15.120000000000001</v>
      </c>
      <c r="J23" s="2">
        <f>VLOOKUP(A23,'[2]2020'!$A$2:$E$24,4,0)</f>
        <v>129.88999999999999</v>
      </c>
      <c r="K23" s="2">
        <f>VLOOKUP(A23,'[5]2020'!$A$2:$M$24,13,0)</f>
        <v>0</v>
      </c>
      <c r="L23" s="2">
        <f>VLOOKUP(A23,'[2]2020'!$A$2:$E$24,5,0)</f>
        <v>991.24</v>
      </c>
      <c r="M23" s="2" t="str">
        <f>VLOOKUP(A23,'[3]2020'!$A$2:$O$24,15,0)</f>
        <v>NA</v>
      </c>
      <c r="N23" s="2">
        <f>VLOOKUP(A23,'[2]2020'!$A$2:$F$24,6,0)</f>
        <v>47851.30999999999</v>
      </c>
      <c r="O23" s="2">
        <f>VLOOKUP(A23,'[7]2020'!$A$2:$C$24,3,0)</f>
        <v>0</v>
      </c>
      <c r="P23" s="2">
        <f>VLOOKUP(A23,'[4]2020'!$A$2:$R$24,18,0)</f>
        <v>225837.61</v>
      </c>
      <c r="Q23" s="2">
        <f>VLOOKUP(A23,'[2]2020'!$A$2:$G$24,7,0)</f>
        <v>0</v>
      </c>
      <c r="R23" s="2">
        <f>VLOOKUP(A23,'[2]2020'!$A$2:$I$24,8,0)</f>
        <v>0</v>
      </c>
      <c r="S23" s="2">
        <f>VLOOKUP(A23,'[2]2020'!$A$2:$I$24,9,0)</f>
        <v>0</v>
      </c>
      <c r="T23" s="8" t="e">
        <f t="shared" si="0"/>
        <v>#N/A</v>
      </c>
      <c r="U23" s="8" t="e">
        <f t="shared" si="1"/>
        <v>#N/A</v>
      </c>
      <c r="V23" s="8" t="e">
        <f t="shared" si="2"/>
        <v>#N/A</v>
      </c>
    </row>
    <row r="24" spans="1:22" x14ac:dyDescent="0.25">
      <c r="A24" s="1" t="s">
        <v>109</v>
      </c>
      <c r="B24" s="6">
        <f>VLOOKUP(A24,[8]Ocupação!$E$27:$F$48,2,0)</f>
        <v>667.33333333333337</v>
      </c>
      <c r="C24" s="2" t="e">
        <f>VLOOKUP(A24,'[1]2020'!$A$1:$D$22,4,0)</f>
        <v>#N/A</v>
      </c>
      <c r="D24" s="2"/>
      <c r="E24" s="2"/>
      <c r="F24" s="2" t="str">
        <f>VLOOKUP(A24,'[3]2020'!$A$2:$H$24,8,0)</f>
        <v>NA</v>
      </c>
      <c r="G24" s="2" t="str">
        <f>VLOOKUP(A24,'[3]2020'!$A$2:$I$24,9,0)</f>
        <v>NA</v>
      </c>
      <c r="H24" s="2">
        <f>VLOOKUP(A24,'[6]2020'!$A$2:$F$24,6,0)</f>
        <v>0</v>
      </c>
      <c r="I24" s="2" t="str">
        <f>VLOOKUP(A24,'[2]2020'!$A$2:$C$24,3,0)</f>
        <v>N/A</v>
      </c>
      <c r="J24" s="2" t="str">
        <f>VLOOKUP(A24,'[2]2020'!$A$2:$E$24,4,0)</f>
        <v>N/A</v>
      </c>
      <c r="K24" s="2">
        <f>VLOOKUP(A24,'[5]2020'!$A$2:$M$24,13,0)</f>
        <v>0</v>
      </c>
      <c r="L24" s="2" t="str">
        <f>VLOOKUP(A24,'[2]2020'!$A$2:$E$24,5,0)</f>
        <v>N/A</v>
      </c>
      <c r="M24" s="2" t="str">
        <f>VLOOKUP(A24,'[3]2020'!$A$2:$O$24,15,0)</f>
        <v>NA</v>
      </c>
      <c r="N24" s="2" t="str">
        <f>VLOOKUP(A24,'[2]2020'!$A$2:$F$24,6,0)</f>
        <v>N/A</v>
      </c>
      <c r="O24" s="2">
        <f>VLOOKUP(A24,'[7]2020'!$A$2:$C$24,3,0)</f>
        <v>0</v>
      </c>
      <c r="P24" s="2">
        <f>VLOOKUP(A24,'[4]2020'!$A$2:$R$24,18,0)</f>
        <v>0</v>
      </c>
      <c r="Q24" s="2" t="str">
        <f>VLOOKUP(A24,'[2]2020'!$A$2:$G$24,7,0)</f>
        <v>N/A</v>
      </c>
      <c r="R24" s="2" t="str">
        <f>VLOOKUP(A24,'[2]2020'!$A$2:$I$24,8,0)</f>
        <v>N/A</v>
      </c>
      <c r="S24" s="2" t="str">
        <f>VLOOKUP(A24,'[2]2020'!$A$2:$I$24,9,0)</f>
        <v>N/A</v>
      </c>
      <c r="T24" s="8" t="e">
        <f t="shared" si="0"/>
        <v>#N/A</v>
      </c>
      <c r="U24" s="8" t="e">
        <f t="shared" si="1"/>
        <v>#N/A</v>
      </c>
      <c r="V24" s="8" t="e">
        <f t="shared" si="2"/>
        <v>#N/A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3B3EE-9FCF-49F5-B08D-A3B419D52572}">
  <dimension ref="A1:S24"/>
  <sheetViews>
    <sheetView workbookViewId="0"/>
  </sheetViews>
  <sheetFormatPr defaultRowHeight="15" x14ac:dyDescent="0.25"/>
  <cols>
    <col min="2" max="2" width="9.140625" style="6"/>
    <col min="3" max="3" width="16.85546875" bestFit="1" customWidth="1"/>
    <col min="6" max="6" width="14.28515625" bestFit="1" customWidth="1"/>
    <col min="7" max="7" width="13.28515625" bestFit="1" customWidth="1"/>
    <col min="8" max="8" width="15.85546875" bestFit="1" customWidth="1"/>
    <col min="9" max="10" width="13.28515625" bestFit="1" customWidth="1"/>
    <col min="11" max="11" width="16.85546875" bestFit="1" customWidth="1"/>
    <col min="12" max="13" width="13.28515625" bestFit="1" customWidth="1"/>
    <col min="14" max="14" width="14.28515625" bestFit="1" customWidth="1"/>
    <col min="15" max="15" width="13.28515625" bestFit="1" customWidth="1"/>
    <col min="16" max="16" width="16.85546875" bestFit="1" customWidth="1"/>
    <col min="17" max="17" width="14.28515625" bestFit="1" customWidth="1"/>
    <col min="18" max="19" width="15.85546875" bestFit="1" customWidth="1"/>
  </cols>
  <sheetData>
    <row r="1" spans="1:19" ht="157.5" x14ac:dyDescent="0.25">
      <c r="A1" s="1" t="s">
        <v>112</v>
      </c>
      <c r="C1" s="5" t="s">
        <v>132</v>
      </c>
      <c r="D1" s="3" t="s">
        <v>145</v>
      </c>
      <c r="E1" s="3" t="s">
        <v>146</v>
      </c>
      <c r="F1" s="3" t="s">
        <v>147</v>
      </c>
      <c r="G1" s="3" t="s">
        <v>148</v>
      </c>
      <c r="H1" s="3" t="s">
        <v>136</v>
      </c>
      <c r="I1" s="4" t="s">
        <v>126</v>
      </c>
      <c r="J1" s="4" t="s">
        <v>127</v>
      </c>
      <c r="K1" s="4" t="s">
        <v>137</v>
      </c>
      <c r="L1" s="4" t="s">
        <v>138</v>
      </c>
      <c r="M1" s="4" t="s">
        <v>139</v>
      </c>
      <c r="N1" s="4" t="s">
        <v>128</v>
      </c>
      <c r="O1" s="4" t="s">
        <v>149</v>
      </c>
      <c r="P1" s="4" t="s">
        <v>141</v>
      </c>
      <c r="Q1" s="4" t="s">
        <v>129</v>
      </c>
      <c r="R1" s="4" t="s">
        <v>130</v>
      </c>
      <c r="S1" s="4" t="s">
        <v>131</v>
      </c>
    </row>
    <row r="2" spans="1:19" x14ac:dyDescent="0.25">
      <c r="A2" s="1" t="s">
        <v>0</v>
      </c>
      <c r="B2" s="6">
        <v>3370.5833333333335</v>
      </c>
      <c r="C2" s="2">
        <f>VLOOKUP(A2,'[1]2021'!$A$1:$D$22,4,0)</f>
        <v>9771541.3399999999</v>
      </c>
      <c r="D2" s="2"/>
      <c r="E2" s="2"/>
      <c r="F2" s="2">
        <f>VLOOKUP(A2,'[3]2021'!$A$2:$H$24,8,0)</f>
        <v>9324.31</v>
      </c>
      <c r="G2" s="2">
        <f>VLOOKUP(A2,'[3]2021'!$A$2:$I$24,9,0)</f>
        <v>9286.2199999999993</v>
      </c>
      <c r="H2" s="2">
        <f>VLOOKUP(A2,'[6]2021'!$A$2:$F$24,6,0)</f>
        <v>8419.869999999999</v>
      </c>
      <c r="I2" s="2">
        <f>VLOOKUP(A2,'[2]2021'!$A$2:$C$24,3,0)</f>
        <v>3804.7599999999998</v>
      </c>
      <c r="J2" s="2">
        <f>VLOOKUP(A2,'[2]2021'!$A$2:$E$24,4,0)</f>
        <v>3268.5499999999997</v>
      </c>
      <c r="K2" s="2">
        <f>VLOOKUP(A2,'[5]2021'!$A$2:$M$24,13,0)</f>
        <v>0</v>
      </c>
      <c r="L2" s="2">
        <f>VLOOKUP(A2,'[2]2021'!$A$2:$E$24,5,0)</f>
        <v>0</v>
      </c>
      <c r="M2" s="2">
        <f>VLOOKUP(A2,'[3]2021'!$A$2:$O$24,15,0)</f>
        <v>14872.32</v>
      </c>
      <c r="N2" s="2">
        <f>VLOOKUP(A2,'[2]2021'!$A$2:$F$24,6,0)</f>
        <v>84967.540000000008</v>
      </c>
      <c r="O2" s="2">
        <f>VLOOKUP(A2,'[7]2021'!$A$2:$C$24,3,0)</f>
        <v>0</v>
      </c>
      <c r="P2" s="2">
        <f>VLOOKUP(A2,'[4]2021'!$A$2:$R$24,18,0)</f>
        <v>0</v>
      </c>
      <c r="Q2" s="2">
        <f>VLOOKUP(A2,'[2]2021'!$A$2:$G$24,7,0)</f>
        <v>1472.4799999999998</v>
      </c>
      <c r="R2" s="2">
        <f>VLOOKUP(A2,'[2]2021'!$A$2:$I$24,8,0)</f>
        <v>0</v>
      </c>
      <c r="S2" s="2">
        <f>VLOOKUP(A2,'[2]2021'!$A$2:$I$24,9,0)</f>
        <v>0</v>
      </c>
    </row>
    <row r="3" spans="1:19" x14ac:dyDescent="0.25">
      <c r="A3" s="1" t="s">
        <v>7</v>
      </c>
      <c r="B3" s="6">
        <f>VLOOKUP(A3,[8]Ocupação!$E$50:$F$71,2,0)</f>
        <v>368.91666666666669</v>
      </c>
      <c r="C3" s="2">
        <f>VLOOKUP(A3,'[1]2021'!$A$1:$D$22,4,0)</f>
        <v>17371359.679999851</v>
      </c>
      <c r="D3" s="2"/>
      <c r="E3" s="2"/>
      <c r="F3" s="2">
        <f>VLOOKUP(A3,'[3]2021'!$A$2:$H$24,8,0)</f>
        <v>204406.43</v>
      </c>
      <c r="G3" s="2">
        <f>VLOOKUP(A3,'[3]2021'!$A$2:$I$24,9,0)</f>
        <v>27757.4</v>
      </c>
      <c r="H3" s="2">
        <f>VLOOKUP(A3,'[6]2021'!$A$2:$F$24,6,0)</f>
        <v>30706.46</v>
      </c>
      <c r="I3" s="2">
        <f>VLOOKUP(A3,'[2]2021'!$A$2:$C$24,3,0)</f>
        <v>15983.890000000003</v>
      </c>
      <c r="J3" s="2">
        <f>VLOOKUP(A3,'[2]2021'!$A$2:$E$24,4,0)</f>
        <v>8257.9699999999993</v>
      </c>
      <c r="K3" s="2">
        <f>VLOOKUP(A3,'[5]2021'!$A$2:$M$24,13,0)</f>
        <v>265958.18</v>
      </c>
      <c r="L3" s="2">
        <f>VLOOKUP(A3,'[2]2021'!$A$2:$E$24,5,0)</f>
        <v>0</v>
      </c>
      <c r="M3" s="2">
        <f>VLOOKUP(A3,'[3]2021'!$A$2:$O$24,15,0)</f>
        <v>0</v>
      </c>
      <c r="N3" s="2">
        <f>VLOOKUP(A3,'[2]2021'!$A$2:$F$24,6,0)</f>
        <v>85862.85</v>
      </c>
      <c r="O3" s="2">
        <f>VLOOKUP(A3,'[7]2021'!$A$2:$C$24,3,0)</f>
        <v>35075.040000000001</v>
      </c>
      <c r="P3" s="2">
        <f>VLOOKUP(A3,'[4]2021'!$A$2:$R$24,18,0)</f>
        <v>1729201.55</v>
      </c>
      <c r="Q3" s="2">
        <f>VLOOKUP(A3,'[2]2021'!$A$2:$G$24,7,0)</f>
        <v>60598.71</v>
      </c>
      <c r="R3" s="2">
        <f>VLOOKUP(A3,'[2]2021'!$A$2:$I$24,8,0)</f>
        <v>78965.17</v>
      </c>
      <c r="S3" s="2">
        <f>VLOOKUP(A3,'[2]2021'!$A$2:$I$24,9,0)</f>
        <v>139332.48999999987</v>
      </c>
    </row>
    <row r="4" spans="1:19" x14ac:dyDescent="0.25">
      <c r="A4" s="1" t="s">
        <v>11</v>
      </c>
      <c r="B4" s="6">
        <f>VLOOKUP(A4,[8]Ocupação!$E$50:$F$71,2,0)</f>
        <v>586.08333333333337</v>
      </c>
      <c r="C4" s="2">
        <f>VLOOKUP(A4,'[1]2021'!$A$1:$D$22,4,0)</f>
        <v>18208736.859999951</v>
      </c>
      <c r="D4" s="2"/>
      <c r="E4" s="2"/>
      <c r="F4" s="2">
        <f>VLOOKUP(A4,'[3]2021'!$A$2:$H$24,8,0)</f>
        <v>251328.99000000002</v>
      </c>
      <c r="G4" s="2">
        <f>VLOOKUP(A4,'[3]2021'!$A$2:$I$24,9,0)</f>
        <v>15554.77</v>
      </c>
      <c r="H4" s="2">
        <f>VLOOKUP(A4,'[6]2021'!$A$2:$F$24,6,0)</f>
        <v>50245.41</v>
      </c>
      <c r="I4" s="2">
        <f>VLOOKUP(A4,'[2]2021'!$A$2:$C$24,3,0)</f>
        <v>19494.570000000003</v>
      </c>
      <c r="J4" s="2">
        <f>VLOOKUP(A4,'[2]2021'!$A$2:$E$24,4,0)</f>
        <v>6504.99</v>
      </c>
      <c r="K4" s="2">
        <f>VLOOKUP(A4,'[5]2021'!$A$2:$M$24,13,0)</f>
        <v>0</v>
      </c>
      <c r="L4" s="2">
        <f>VLOOKUP(A4,'[2]2021'!$A$2:$E$24,5,0)</f>
        <v>0</v>
      </c>
      <c r="M4" s="2">
        <f>VLOOKUP(A4,'[3]2021'!$A$2:$O$24,15,0)</f>
        <v>6863.16</v>
      </c>
      <c r="N4" s="2">
        <f>VLOOKUP(A4,'[2]2021'!$A$2:$F$24,6,0)</f>
        <v>45162.039999999994</v>
      </c>
      <c r="O4" s="2">
        <f>VLOOKUP(A4,'[7]2021'!$A$2:$C$24,3,0)</f>
        <v>8000</v>
      </c>
      <c r="P4" s="2">
        <f>VLOOKUP(A4,'[4]2021'!$A$2:$R$24,18,0)</f>
        <v>2683840.52</v>
      </c>
      <c r="Q4" s="2">
        <f>VLOOKUP(A4,'[2]2021'!$A$2:$G$24,7,0)</f>
        <v>30495.01</v>
      </c>
      <c r="R4" s="2">
        <f>VLOOKUP(A4,'[2]2021'!$A$2:$I$24,8,0)</f>
        <v>50766.75</v>
      </c>
      <c r="S4" s="2">
        <f>VLOOKUP(A4,'[2]2021'!$A$2:$I$24,9,0)</f>
        <v>53697.359999999986</v>
      </c>
    </row>
    <row r="5" spans="1:19" x14ac:dyDescent="0.25">
      <c r="A5" s="1" t="s">
        <v>16</v>
      </c>
      <c r="B5" s="6">
        <f>VLOOKUP(A5,[8]Ocupação!$E$50:$F$71,2,0)</f>
        <v>2332.75</v>
      </c>
      <c r="C5" s="2">
        <f>VLOOKUP(A5,'[1]2021'!$A$1:$D$22,4,0)</f>
        <v>59785260.240001768</v>
      </c>
      <c r="D5" s="2"/>
      <c r="E5" s="2"/>
      <c r="F5" s="2">
        <f>VLOOKUP(A5,'[3]2021'!$A$2:$H$24,8,0)</f>
        <v>259100.53</v>
      </c>
      <c r="G5" s="2">
        <f>VLOOKUP(A5,'[3]2021'!$A$2:$I$24,9,0)</f>
        <v>14549.640000000001</v>
      </c>
      <c r="H5" s="2">
        <f>VLOOKUP(A5,'[6]2021'!$A$2:$F$24,6,0)</f>
        <v>480358.08</v>
      </c>
      <c r="I5" s="2">
        <f>VLOOKUP(A5,'[2]2021'!$A$2:$C$24,3,0)</f>
        <v>38091.959999999992</v>
      </c>
      <c r="J5" s="2">
        <f>VLOOKUP(A5,'[2]2021'!$A$2:$E$24,4,0)</f>
        <v>19187.480000000003</v>
      </c>
      <c r="K5" s="2">
        <f>VLOOKUP(A5,'[5]2021'!$A$2:$M$24,13,0)</f>
        <v>248954.94</v>
      </c>
      <c r="L5" s="2">
        <f>VLOOKUP(A5,'[2]2021'!$A$2:$E$24,5,0)</f>
        <v>333.99</v>
      </c>
      <c r="M5" s="2">
        <f>VLOOKUP(A5,'[3]2021'!$A$2:$O$24,15,0)</f>
        <v>14739.6</v>
      </c>
      <c r="N5" s="2">
        <f>VLOOKUP(A5,'[2]2021'!$A$2:$F$24,6,0)</f>
        <v>81469.66</v>
      </c>
      <c r="O5" s="2">
        <f>VLOOKUP(A5,'[7]2021'!$A$2:$C$24,3,0)</f>
        <v>68021.959999999992</v>
      </c>
      <c r="P5" s="2">
        <f>VLOOKUP(A5,'[4]2021'!$A$2:$R$24,18,0)</f>
        <v>10698441.970000001</v>
      </c>
      <c r="Q5" s="2">
        <f>VLOOKUP(A5,'[2]2021'!$A$2:$G$24,7,0)</f>
        <v>181089.42</v>
      </c>
      <c r="R5" s="2">
        <f>VLOOKUP(A5,'[2]2021'!$A$2:$I$24,8,0)</f>
        <v>304859.59999999992</v>
      </c>
      <c r="S5" s="2">
        <f>VLOOKUP(A5,'[2]2021'!$A$2:$I$24,9,0)</f>
        <v>149746.47999999989</v>
      </c>
    </row>
    <row r="6" spans="1:19" x14ac:dyDescent="0.25">
      <c r="A6" s="1" t="s">
        <v>21</v>
      </c>
      <c r="B6" s="6">
        <f>VLOOKUP(A6,[8]Ocupação!$E$50:$F$71,2,0)</f>
        <v>661.25</v>
      </c>
      <c r="C6" s="2">
        <f>VLOOKUP(A6,'[1]2021'!$A$1:$D$22,4,0)</f>
        <v>19869635.109999955</v>
      </c>
      <c r="D6" s="2"/>
      <c r="E6" s="2"/>
      <c r="F6" s="2">
        <f>VLOOKUP(A6,'[3]2021'!$A$2:$H$24,8,0)</f>
        <v>253402.33000000002</v>
      </c>
      <c r="G6" s="2">
        <f>VLOOKUP(A6,'[3]2021'!$A$2:$I$24,9,0)</f>
        <v>27526.74</v>
      </c>
      <c r="H6" s="2">
        <f>VLOOKUP(A6,'[6]2021'!$A$2:$F$24,6,0)</f>
        <v>76315.460000000006</v>
      </c>
      <c r="I6" s="2">
        <f>VLOOKUP(A6,'[2]2021'!$A$2:$C$24,3,0)</f>
        <v>15864.279999999995</v>
      </c>
      <c r="J6" s="2">
        <f>VLOOKUP(A6,'[2]2021'!$A$2:$E$24,4,0)</f>
        <v>7961.0800000000008</v>
      </c>
      <c r="K6" s="2">
        <f>VLOOKUP(A6,'[5]2021'!$A$2:$M$24,13,0)</f>
        <v>0</v>
      </c>
      <c r="L6" s="2">
        <f>VLOOKUP(A6,'[2]2021'!$A$2:$E$24,5,0)</f>
        <v>0</v>
      </c>
      <c r="M6" s="2">
        <f>VLOOKUP(A6,'[3]2021'!$A$2:$O$24,15,0)</f>
        <v>6863.16</v>
      </c>
      <c r="N6" s="2">
        <f>VLOOKUP(A6,'[2]2021'!$A$2:$F$24,6,0)</f>
        <v>104977.65000000002</v>
      </c>
      <c r="O6" s="2">
        <f>VLOOKUP(A6,'[7]2021'!$A$2:$C$24,3,0)</f>
        <v>7499.98</v>
      </c>
      <c r="P6" s="2">
        <f>VLOOKUP(A6,'[4]2021'!$A$2:$R$24,18,0)</f>
        <v>3381091.9</v>
      </c>
      <c r="Q6" s="2">
        <f>VLOOKUP(A6,'[2]2021'!$A$2:$G$24,7,0)</f>
        <v>29454.809999999994</v>
      </c>
      <c r="R6" s="2">
        <f>VLOOKUP(A6,'[2]2021'!$A$2:$I$24,8,0)</f>
        <v>271998.11</v>
      </c>
      <c r="S6" s="2">
        <f>VLOOKUP(A6,'[2]2021'!$A$2:$I$24,9,0)</f>
        <v>117298.00999999995</v>
      </c>
    </row>
    <row r="7" spans="1:19" x14ac:dyDescent="0.25">
      <c r="A7" s="1" t="s">
        <v>26</v>
      </c>
      <c r="B7" s="6">
        <f>VLOOKUP(A7,[8]Ocupação!$E$50:$F$71,2,0)</f>
        <v>1234.6666666666667</v>
      </c>
      <c r="C7" s="2">
        <f>VLOOKUP(A7,'[1]2021'!$A$1:$D$22,4,0)</f>
        <v>29683944.649999894</v>
      </c>
      <c r="D7" s="2"/>
      <c r="E7" s="2"/>
      <c r="F7" s="2">
        <f>VLOOKUP(A7,'[3]2021'!$A$2:$H$24,8,0)</f>
        <v>204431.82</v>
      </c>
      <c r="G7" s="2">
        <f>VLOOKUP(A7,'[3]2021'!$A$2:$I$24,9,0)</f>
        <v>51592.22</v>
      </c>
      <c r="H7" s="2">
        <f>VLOOKUP(A7,'[6]2021'!$A$2:$F$24,6,0)</f>
        <v>1158145.18</v>
      </c>
      <c r="I7" s="2">
        <f>VLOOKUP(A7,'[2]2021'!$A$2:$C$24,3,0)</f>
        <v>12125.960000000001</v>
      </c>
      <c r="J7" s="2">
        <f>VLOOKUP(A7,'[2]2021'!$A$2:$E$24,4,0)</f>
        <v>6559.67</v>
      </c>
      <c r="K7" s="2">
        <f>VLOOKUP(A7,'[5]2021'!$A$2:$M$24,13,0)</f>
        <v>0</v>
      </c>
      <c r="L7" s="2">
        <f>VLOOKUP(A7,'[2]2021'!$A$2:$E$24,5,0)</f>
        <v>0</v>
      </c>
      <c r="M7" s="2">
        <f>VLOOKUP(A7,'[3]2021'!$A$2:$O$24,15,0)</f>
        <v>6863.16</v>
      </c>
      <c r="N7" s="2">
        <f>VLOOKUP(A7,'[2]2021'!$A$2:$F$24,6,0)</f>
        <v>41023.820000000007</v>
      </c>
      <c r="O7" s="2">
        <f>VLOOKUP(A7,'[7]2021'!$A$2:$C$24,3,0)</f>
        <v>22499.98</v>
      </c>
      <c r="P7" s="2">
        <f>VLOOKUP(A7,'[4]2021'!$A$2:$R$24,18,0)</f>
        <v>4723929.8999999994</v>
      </c>
      <c r="Q7" s="2">
        <f>VLOOKUP(A7,'[2]2021'!$A$2:$G$24,7,0)</f>
        <v>43943.35</v>
      </c>
      <c r="R7" s="2">
        <f>VLOOKUP(A7,'[2]2021'!$A$2:$I$24,8,0)</f>
        <v>241878.48</v>
      </c>
      <c r="S7" s="2">
        <f>VLOOKUP(A7,'[2]2021'!$A$2:$I$24,9,0)</f>
        <v>116160.12000000001</v>
      </c>
    </row>
    <row r="8" spans="1:19" x14ac:dyDescent="0.25">
      <c r="A8" s="1" t="s">
        <v>31</v>
      </c>
      <c r="B8" s="6">
        <f>VLOOKUP(A8,[8]Ocupação!$E$50:$F$71,2,0)</f>
        <v>1221.1666666666667</v>
      </c>
      <c r="C8" s="2">
        <f>VLOOKUP(A8,'[1]2021'!$A$1:$D$22,4,0)</f>
        <v>27484734.020000163</v>
      </c>
      <c r="D8" s="2"/>
      <c r="E8" s="2"/>
      <c r="F8" s="2">
        <f>VLOOKUP(A8,'[3]2021'!$A$2:$H$24,8,0)</f>
        <v>203829.55</v>
      </c>
      <c r="G8" s="2">
        <f>VLOOKUP(A8,'[3]2021'!$A$2:$I$24,9,0)</f>
        <v>29639.919999999998</v>
      </c>
      <c r="H8" s="2">
        <f>VLOOKUP(A8,'[6]2021'!$A$2:$F$24,6,0)</f>
        <v>458083.53</v>
      </c>
      <c r="I8" s="2">
        <f>VLOOKUP(A8,'[2]2021'!$A$2:$C$24,3,0)</f>
        <v>16779.689999999999</v>
      </c>
      <c r="J8" s="2">
        <f>VLOOKUP(A8,'[2]2021'!$A$2:$E$24,4,0)</f>
        <v>7618.2399999999989</v>
      </c>
      <c r="K8" s="2">
        <f>VLOOKUP(A8,'[5]2021'!$A$2:$M$24,13,0)</f>
        <v>0</v>
      </c>
      <c r="L8" s="2">
        <f>VLOOKUP(A8,'[2]2021'!$A$2:$E$24,5,0)</f>
        <v>492.59</v>
      </c>
      <c r="M8" s="2">
        <f>VLOOKUP(A8,'[3]2021'!$A$2:$O$24,15,0)</f>
        <v>619.67999999999995</v>
      </c>
      <c r="N8" s="2">
        <f>VLOOKUP(A8,'[2]2021'!$A$2:$F$24,6,0)</f>
        <v>92738.62000000001</v>
      </c>
      <c r="O8" s="2">
        <f>VLOOKUP(A8,'[7]2021'!$A$2:$C$24,3,0)</f>
        <v>12000</v>
      </c>
      <c r="P8" s="2">
        <f>VLOOKUP(A8,'[4]2021'!$A$2:$R$24,18,0)</f>
        <v>5670083.0499999998</v>
      </c>
      <c r="Q8" s="2">
        <f>VLOOKUP(A8,'[2]2021'!$A$2:$G$24,7,0)</f>
        <v>57443.64999999998</v>
      </c>
      <c r="R8" s="2">
        <f>VLOOKUP(A8,'[2]2021'!$A$2:$I$24,8,0)</f>
        <v>291430.40999999997</v>
      </c>
      <c r="S8" s="2">
        <f>VLOOKUP(A8,'[2]2021'!$A$2:$I$24,9,0)</f>
        <v>51041.520000000011</v>
      </c>
    </row>
    <row r="9" spans="1:19" x14ac:dyDescent="0.25">
      <c r="A9" s="1" t="s">
        <v>36</v>
      </c>
      <c r="B9" s="6">
        <f>VLOOKUP(A9,[8]Ocupação!$E$50:$F$71,2,0)</f>
        <v>1045.3333333333333</v>
      </c>
      <c r="C9" s="2">
        <f>VLOOKUP(A9,'[1]2021'!$A$1:$D$22,4,0)</f>
        <v>38252135.180000141</v>
      </c>
      <c r="D9" s="2"/>
      <c r="E9" s="2"/>
      <c r="F9" s="2">
        <f>VLOOKUP(A9,'[3]2021'!$A$2:$H$24,8,0)</f>
        <v>8026.88</v>
      </c>
      <c r="G9" s="2">
        <f>VLOOKUP(A9,'[3]2021'!$A$2:$I$24,9,0)</f>
        <v>41115.600000000006</v>
      </c>
      <c r="H9" s="2">
        <f>VLOOKUP(A9,'[6]2021'!$A$2:$F$24,6,0)</f>
        <v>8169.88</v>
      </c>
      <c r="I9" s="2">
        <f>VLOOKUP(A9,'[2]2021'!$A$2:$C$24,3,0)</f>
        <v>18387.060000000001</v>
      </c>
      <c r="J9" s="2">
        <f>VLOOKUP(A9,'[2]2021'!$A$2:$E$24,4,0)</f>
        <v>8871.1700000000019</v>
      </c>
      <c r="K9" s="2">
        <f>VLOOKUP(A9,'[5]2021'!$A$2:$M$24,13,0)</f>
        <v>0</v>
      </c>
      <c r="L9" s="2">
        <f>VLOOKUP(A9,'[2]2021'!$A$2:$E$24,5,0)</f>
        <v>0</v>
      </c>
      <c r="M9" s="2">
        <f>VLOOKUP(A9,'[3]2021'!$A$2:$O$24,15,0)</f>
        <v>6740.64</v>
      </c>
      <c r="N9" s="2">
        <f>VLOOKUP(A9,'[2]2021'!$A$2:$F$24,6,0)</f>
        <v>305304.27999999997</v>
      </c>
      <c r="O9" s="2">
        <f>VLOOKUP(A9,'[7]2021'!$A$2:$C$24,3,0)</f>
        <v>15000</v>
      </c>
      <c r="P9" s="2">
        <f>VLOOKUP(A9,'[4]2021'!$A$2:$R$24,18,0)</f>
        <v>4794557.6899999995</v>
      </c>
      <c r="Q9" s="2">
        <f>VLOOKUP(A9,'[2]2021'!$A$2:$G$24,7,0)</f>
        <v>102012.97</v>
      </c>
      <c r="R9" s="2">
        <f>VLOOKUP(A9,'[2]2021'!$A$2:$I$24,8,0)</f>
        <v>200976.63999999996</v>
      </c>
      <c r="S9" s="2">
        <f>VLOOKUP(A9,'[2]2021'!$A$2:$I$24,9,0)</f>
        <v>92352.920000000042</v>
      </c>
    </row>
    <row r="10" spans="1:19" x14ac:dyDescent="0.25">
      <c r="A10" s="1" t="s">
        <v>41</v>
      </c>
      <c r="B10" s="6">
        <f>VLOOKUP(A10,[8]Ocupação!$E$50:$F$71,2,0)</f>
        <v>961.41666666666663</v>
      </c>
      <c r="C10" s="2">
        <f>VLOOKUP(A10,'[1]2021'!$A$1:$D$22,4,0)</f>
        <v>28641548.699999925</v>
      </c>
      <c r="D10" s="2"/>
      <c r="E10" s="2"/>
      <c r="F10" s="2">
        <f>VLOOKUP(A10,'[3]2021'!$A$2:$H$24,8,0)</f>
        <v>4878.55</v>
      </c>
      <c r="G10" s="2">
        <f>VLOOKUP(A10,'[3]2021'!$A$2:$I$24,9,0)</f>
        <v>30685.47</v>
      </c>
      <c r="H10" s="2">
        <f>VLOOKUP(A10,'[6]2021'!$A$2:$F$24,6,0)</f>
        <v>27245.98</v>
      </c>
      <c r="I10" s="2">
        <f>VLOOKUP(A10,'[2]2021'!$A$2:$C$24,3,0)</f>
        <v>16857.95</v>
      </c>
      <c r="J10" s="2">
        <f>VLOOKUP(A10,'[2]2021'!$A$2:$E$24,4,0)</f>
        <v>1954.9400000000003</v>
      </c>
      <c r="K10" s="2">
        <f>VLOOKUP(A10,'[5]2021'!$A$2:$M$24,13,0)</f>
        <v>0</v>
      </c>
      <c r="L10" s="2">
        <f>VLOOKUP(A10,'[2]2021'!$A$2:$E$24,5,0)</f>
        <v>0</v>
      </c>
      <c r="M10" s="2">
        <f>VLOOKUP(A10,'[3]2021'!$A$2:$O$24,15,0)</f>
        <v>6740.64</v>
      </c>
      <c r="N10" s="2">
        <f>VLOOKUP(A10,'[2]2021'!$A$2:$F$24,6,0)</f>
        <v>219538.44</v>
      </c>
      <c r="O10" s="2">
        <f>VLOOKUP(A10,'[7]2021'!$A$2:$C$24,3,0)</f>
        <v>31546.92</v>
      </c>
      <c r="P10" s="2">
        <f>VLOOKUP(A10,'[4]2021'!$A$2:$R$24,18,0)</f>
        <v>4595938.24</v>
      </c>
      <c r="Q10" s="2">
        <f>VLOOKUP(A10,'[2]2021'!$A$2:$G$24,7,0)</f>
        <v>65066.259999999995</v>
      </c>
      <c r="R10" s="2">
        <f>VLOOKUP(A10,'[2]2021'!$A$2:$I$24,8,0)</f>
        <v>97647.32</v>
      </c>
      <c r="S10" s="2">
        <f>VLOOKUP(A10,'[2]2021'!$A$2:$I$24,9,0)</f>
        <v>46789.730000000018</v>
      </c>
    </row>
    <row r="11" spans="1:19" x14ac:dyDescent="0.25">
      <c r="A11" s="1" t="s">
        <v>44</v>
      </c>
      <c r="B11" s="6">
        <f>VLOOKUP(A11,[8]Ocupação!$E$50:$F$71,2,0)</f>
        <v>803.16666666666663</v>
      </c>
      <c r="C11" s="2">
        <f>VLOOKUP(A11,'[1]2021'!$A$1:$D$22,4,0)</f>
        <v>21041286.430000052</v>
      </c>
      <c r="D11" s="2"/>
      <c r="E11" s="2"/>
      <c r="F11" s="2">
        <f>VLOOKUP(A11,'[3]2021'!$A$2:$H$24,8,0)</f>
        <v>2178.6799999999998</v>
      </c>
      <c r="G11" s="2">
        <f>VLOOKUP(A11,'[3]2021'!$A$2:$I$24,9,0)</f>
        <v>31478.93</v>
      </c>
      <c r="H11" s="2">
        <f>VLOOKUP(A11,'[6]2021'!$A$2:$F$24,6,0)</f>
        <v>559772.91</v>
      </c>
      <c r="I11" s="2">
        <f>VLOOKUP(A11,'[2]2021'!$A$2:$C$24,3,0)</f>
        <v>18787.450000000004</v>
      </c>
      <c r="J11" s="2">
        <f>VLOOKUP(A11,'[2]2021'!$A$2:$E$24,4,0)</f>
        <v>5761.8599999999979</v>
      </c>
      <c r="K11" s="2">
        <f>VLOOKUP(A11,'[5]2021'!$A$2:$M$24,13,0)</f>
        <v>0</v>
      </c>
      <c r="L11" s="2">
        <f>VLOOKUP(A11,'[2]2021'!$A$2:$E$24,5,0)</f>
        <v>0</v>
      </c>
      <c r="M11" s="2">
        <f>VLOOKUP(A11,'[3]2021'!$A$2:$O$24,15,0)</f>
        <v>6127.8</v>
      </c>
      <c r="N11" s="2">
        <f>VLOOKUP(A11,'[2]2021'!$A$2:$F$24,6,0)</f>
        <v>32602.25</v>
      </c>
      <c r="O11" s="2">
        <f>VLOOKUP(A11,'[7]2021'!$A$2:$C$24,3,0)</f>
        <v>16000</v>
      </c>
      <c r="P11" s="2">
        <f>VLOOKUP(A11,'[4]2021'!$A$2:$R$24,18,0)</f>
        <v>3874790.13</v>
      </c>
      <c r="Q11" s="2">
        <f>VLOOKUP(A11,'[2]2021'!$A$2:$G$24,7,0)</f>
        <v>41884.720000000001</v>
      </c>
      <c r="R11" s="2">
        <f>VLOOKUP(A11,'[2]2021'!$A$2:$I$24,8,0)</f>
        <v>37435.72</v>
      </c>
      <c r="S11" s="2">
        <f>VLOOKUP(A11,'[2]2021'!$A$2:$I$24,9,0)</f>
        <v>71600.699999999983</v>
      </c>
    </row>
    <row r="12" spans="1:19" x14ac:dyDescent="0.25">
      <c r="A12" s="1" t="s">
        <v>50</v>
      </c>
      <c r="B12" s="6">
        <f>VLOOKUP(A12,[8]Ocupação!$E$50:$F$71,2,0)</f>
        <v>761.5</v>
      </c>
      <c r="C12" s="2">
        <f>VLOOKUP(A12,'[1]2021'!$A$1:$D$22,4,0)</f>
        <v>19650564.969999921</v>
      </c>
      <c r="D12" s="2"/>
      <c r="E12" s="2"/>
      <c r="F12" s="2">
        <f>VLOOKUP(A12,'[3]2021'!$A$2:$H$24,8,0)</f>
        <v>7115.07</v>
      </c>
      <c r="G12" s="2">
        <f>VLOOKUP(A12,'[3]2021'!$A$2:$I$24,9,0)</f>
        <v>36576.93</v>
      </c>
      <c r="H12" s="2">
        <f>VLOOKUP(A12,'[6]2021'!$A$2:$F$24,6,0)</f>
        <v>218100.93</v>
      </c>
      <c r="I12" s="2">
        <f>VLOOKUP(A12,'[2]2021'!$A$2:$C$24,3,0)</f>
        <v>23673.760000000002</v>
      </c>
      <c r="J12" s="2">
        <f>VLOOKUP(A12,'[2]2021'!$A$2:$E$24,4,0)</f>
        <v>8328.7100000000009</v>
      </c>
      <c r="K12" s="2">
        <f>VLOOKUP(A12,'[5]2021'!$A$2:$M$24,13,0)</f>
        <v>0</v>
      </c>
      <c r="L12" s="2">
        <f>VLOOKUP(A12,'[2]2021'!$A$2:$E$24,5,0)</f>
        <v>0</v>
      </c>
      <c r="M12" s="2">
        <f>VLOOKUP(A12,'[3]2021'!$A$2:$O$24,15,0)</f>
        <v>6863.16</v>
      </c>
      <c r="N12" s="2">
        <f>VLOOKUP(A12,'[2]2021'!$A$2:$F$24,6,0)</f>
        <v>122267.21</v>
      </c>
      <c r="O12" s="2">
        <f>VLOOKUP(A12,'[7]2021'!$A$2:$C$24,3,0)</f>
        <v>0</v>
      </c>
      <c r="P12" s="2">
        <f>VLOOKUP(A12,'[4]2021'!$A$2:$R$24,18,0)</f>
        <v>3386825.7</v>
      </c>
      <c r="Q12" s="2">
        <f>VLOOKUP(A12,'[2]2021'!$A$2:$G$24,7,0)</f>
        <v>56349.63</v>
      </c>
      <c r="R12" s="2">
        <f>VLOOKUP(A12,'[2]2021'!$A$2:$I$24,8,0)</f>
        <v>117556.49</v>
      </c>
      <c r="S12" s="2">
        <f>VLOOKUP(A12,'[2]2021'!$A$2:$I$24,9,0)</f>
        <v>139968.0199999999</v>
      </c>
    </row>
    <row r="13" spans="1:19" x14ac:dyDescent="0.25">
      <c r="A13" s="1" t="s">
        <v>55</v>
      </c>
      <c r="B13" s="6">
        <f>VLOOKUP(A13,[8]Ocupação!$E$50:$F$71,2,0)</f>
        <v>879.91666666666663</v>
      </c>
      <c r="C13" s="2">
        <f>VLOOKUP(A13,'[1]2021'!$A$1:$D$22,4,0)</f>
        <v>28860401.120000031</v>
      </c>
      <c r="D13" s="2"/>
      <c r="E13" s="2"/>
      <c r="F13" s="2">
        <f>VLOOKUP(A13,'[3]2021'!$A$2:$H$24,8,0)</f>
        <v>206075.08</v>
      </c>
      <c r="G13" s="2">
        <f>VLOOKUP(A13,'[3]2021'!$A$2:$I$24,9,0)</f>
        <v>32129.360000000001</v>
      </c>
      <c r="H13" s="2">
        <f>VLOOKUP(A13,'[6]2021'!$A$2:$F$24,6,0)</f>
        <v>134381.26999999999</v>
      </c>
      <c r="I13" s="2">
        <f>VLOOKUP(A13,'[2]2021'!$A$2:$C$24,3,0)</f>
        <v>25427.760000000006</v>
      </c>
      <c r="J13" s="2">
        <f>VLOOKUP(A13,'[2]2021'!$A$2:$E$24,4,0)</f>
        <v>13211.749999999996</v>
      </c>
      <c r="K13" s="2">
        <f>VLOOKUP(A13,'[5]2021'!$A$2:$M$24,13,0)</f>
        <v>0</v>
      </c>
      <c r="L13" s="2">
        <f>VLOOKUP(A13,'[2]2021'!$A$2:$E$24,5,0)</f>
        <v>0</v>
      </c>
      <c r="M13" s="2">
        <f>VLOOKUP(A13,'[3]2021'!$A$2:$O$24,15,0)</f>
        <v>12990.96</v>
      </c>
      <c r="N13" s="2">
        <f>VLOOKUP(A13,'[2]2021'!$A$2:$F$24,6,0)</f>
        <v>210097.61</v>
      </c>
      <c r="O13" s="2">
        <f>VLOOKUP(A13,'[7]2021'!$A$2:$C$24,3,0)</f>
        <v>44139.040000000001</v>
      </c>
      <c r="P13" s="2">
        <f>VLOOKUP(A13,'[4]2021'!$A$2:$R$24,18,0)</f>
        <v>4576387.68</v>
      </c>
      <c r="Q13" s="2">
        <f>VLOOKUP(A13,'[2]2021'!$A$2:$G$24,7,0)</f>
        <v>57165.739999999991</v>
      </c>
      <c r="R13" s="2">
        <f>VLOOKUP(A13,'[2]2021'!$A$2:$I$24,8,0)</f>
        <v>634693.30999999994</v>
      </c>
      <c r="S13" s="2">
        <f>VLOOKUP(A13,'[2]2021'!$A$2:$I$24,9,0)</f>
        <v>73541.00999999998</v>
      </c>
    </row>
    <row r="14" spans="1:19" x14ac:dyDescent="0.25">
      <c r="A14" s="1" t="s">
        <v>60</v>
      </c>
      <c r="B14" s="6">
        <f>VLOOKUP(A14,[8]Ocupação!$E$50:$F$71,2,0)</f>
        <v>1069</v>
      </c>
      <c r="C14" s="2">
        <f>VLOOKUP(A14,'[1]2021'!$A$1:$D$22,4,0)</f>
        <v>25720801.750000048</v>
      </c>
      <c r="D14" s="2"/>
      <c r="E14" s="2"/>
      <c r="F14" s="2">
        <f>VLOOKUP(A14,'[3]2021'!$A$2:$H$24,8,0)</f>
        <v>210797.88</v>
      </c>
      <c r="G14" s="2">
        <f>VLOOKUP(A14,'[3]2021'!$A$2:$I$24,9,0)</f>
        <v>30276.58</v>
      </c>
      <c r="H14" s="2">
        <f>VLOOKUP(A14,'[6]2021'!$A$2:$F$24,6,0)</f>
        <v>458199.71</v>
      </c>
      <c r="I14" s="2">
        <f>VLOOKUP(A14,'[2]2021'!$A$2:$C$24,3,0)</f>
        <v>11665.07</v>
      </c>
      <c r="J14" s="2">
        <f>VLOOKUP(A14,'[2]2021'!$A$2:$E$24,4,0)</f>
        <v>8889.83</v>
      </c>
      <c r="K14" s="2">
        <f>VLOOKUP(A14,'[5]2021'!$A$2:$M$24,13,0)</f>
        <v>0</v>
      </c>
      <c r="L14" s="2">
        <f>VLOOKUP(A14,'[2]2021'!$A$2:$E$24,5,0)</f>
        <v>0</v>
      </c>
      <c r="M14" s="2">
        <f>VLOOKUP(A14,'[3]2021'!$A$2:$O$24,15,0)</f>
        <v>1172.97</v>
      </c>
      <c r="N14" s="2">
        <f>VLOOKUP(A14,'[2]2021'!$A$2:$F$24,6,0)</f>
        <v>205191.34999999998</v>
      </c>
      <c r="O14" s="2">
        <f>VLOOKUP(A14,'[7]2021'!$A$2:$C$24,3,0)</f>
        <v>12000</v>
      </c>
      <c r="P14" s="2">
        <f>VLOOKUP(A14,'[4]2021'!$A$2:$R$24,18,0)</f>
        <v>4629588.5</v>
      </c>
      <c r="Q14" s="2">
        <f>VLOOKUP(A14,'[2]2021'!$A$2:$G$24,7,0)</f>
        <v>43929.950000000004</v>
      </c>
      <c r="R14" s="2">
        <f>VLOOKUP(A14,'[2]2021'!$A$2:$I$24,8,0)</f>
        <v>78099.63</v>
      </c>
      <c r="S14" s="2">
        <f>VLOOKUP(A14,'[2]2021'!$A$2:$I$24,9,0)</f>
        <v>80223.19</v>
      </c>
    </row>
    <row r="15" spans="1:19" x14ac:dyDescent="0.25">
      <c r="A15" s="1" t="s">
        <v>65</v>
      </c>
      <c r="B15" s="6">
        <f>VLOOKUP(A15,[8]Ocupação!$E$50:$F$71,2,0)</f>
        <v>1933</v>
      </c>
      <c r="C15" s="2">
        <f>VLOOKUP(A15,'[1]2021'!$A$1:$D$22,4,0)</f>
        <v>44040856.33000049</v>
      </c>
      <c r="D15" s="2"/>
      <c r="E15" s="2"/>
      <c r="F15" s="2">
        <f>VLOOKUP(A15,'[3]2021'!$A$2:$H$24,8,0)</f>
        <v>260181.73</v>
      </c>
      <c r="G15" s="2">
        <f>VLOOKUP(A15,'[3]2021'!$A$2:$I$24,9,0)</f>
        <v>14615.66</v>
      </c>
      <c r="H15" s="2">
        <f>VLOOKUP(A15,'[6]2021'!$A$2:$F$24,6,0)</f>
        <v>311672.73</v>
      </c>
      <c r="I15" s="2">
        <f>VLOOKUP(A15,'[2]2021'!$A$2:$C$24,3,0)</f>
        <v>63429.570000000007</v>
      </c>
      <c r="J15" s="2">
        <f>VLOOKUP(A15,'[2]2021'!$A$2:$E$24,4,0)</f>
        <v>26447.609999999997</v>
      </c>
      <c r="K15" s="2">
        <f>VLOOKUP(A15,'[5]2021'!$A$2:$M$24,13,0)</f>
        <v>1371769.75</v>
      </c>
      <c r="L15" s="2">
        <f>VLOOKUP(A15,'[2]2021'!$A$2:$E$24,5,0)</f>
        <v>21.02</v>
      </c>
      <c r="M15" s="2">
        <f>VLOOKUP(A15,'[3]2021'!$A$2:$O$24,15,0)</f>
        <v>14075.64</v>
      </c>
      <c r="N15" s="2">
        <f>VLOOKUP(A15,'[2]2021'!$A$2:$F$24,6,0)</f>
        <v>144886.40999999997</v>
      </c>
      <c r="O15" s="2">
        <f>VLOOKUP(A15,'[7]2021'!$A$2:$C$24,3,0)</f>
        <v>42837.039999999994</v>
      </c>
      <c r="P15" s="2">
        <f>VLOOKUP(A15,'[4]2021'!$A$2:$R$24,18,0)</f>
        <v>9991802.9800000004</v>
      </c>
      <c r="Q15" s="2">
        <f>VLOOKUP(A15,'[2]2021'!$A$2:$G$24,7,0)</f>
        <v>118477.83000000002</v>
      </c>
      <c r="R15" s="2">
        <f>VLOOKUP(A15,'[2]2021'!$A$2:$I$24,8,0)</f>
        <v>392101.49000000005</v>
      </c>
      <c r="S15" s="2">
        <f>VLOOKUP(A15,'[2]2021'!$A$2:$I$24,9,0)</f>
        <v>85248.239999999932</v>
      </c>
    </row>
    <row r="16" spans="1:19" x14ac:dyDescent="0.25">
      <c r="A16" s="1" t="s">
        <v>70</v>
      </c>
      <c r="B16" s="6">
        <f>VLOOKUP(A16,[8]Ocupação!$E$50:$F$71,2,0)</f>
        <v>361.66666666666669</v>
      </c>
      <c r="C16" s="2">
        <f>VLOOKUP(A16,'[1]2021'!$A$1:$D$22,4,0)</f>
        <v>27561387.520000152</v>
      </c>
      <c r="D16" s="2"/>
      <c r="E16" s="2"/>
      <c r="F16" s="2">
        <f>VLOOKUP(A16,'[3]2021'!$A$2:$H$24,8,0)</f>
        <v>202711.98</v>
      </c>
      <c r="G16" s="2">
        <f>VLOOKUP(A16,'[3]2021'!$A$2:$I$24,9,0)</f>
        <v>16546.32</v>
      </c>
      <c r="H16" s="2">
        <f>VLOOKUP(A16,'[6]2021'!$A$2:$F$24,6,0)</f>
        <v>299852.83</v>
      </c>
      <c r="I16" s="2">
        <f>VLOOKUP(A16,'[2]2021'!$A$2:$C$24,3,0)</f>
        <v>22827.529999999995</v>
      </c>
      <c r="J16" s="2">
        <f>VLOOKUP(A16,'[2]2021'!$A$2:$E$24,4,0)</f>
        <v>7998.6999999999989</v>
      </c>
      <c r="K16" s="2">
        <f>VLOOKUP(A16,'[5]2021'!$A$2:$M$24,13,0)</f>
        <v>390000</v>
      </c>
      <c r="L16" s="2">
        <f>VLOOKUP(A16,'[2]2021'!$A$2:$E$24,5,0)</f>
        <v>499.21</v>
      </c>
      <c r="M16" s="2">
        <f>VLOOKUP(A16,'[3]2021'!$A$2:$O$24,15,0)</f>
        <v>7436.16</v>
      </c>
      <c r="N16" s="2">
        <f>VLOOKUP(A16,'[2]2021'!$A$2:$F$24,6,0)</f>
        <v>71639.330000000016</v>
      </c>
      <c r="O16" s="2">
        <f>VLOOKUP(A16,'[7]2021'!$A$2:$C$24,3,0)</f>
        <v>69935.040000000008</v>
      </c>
      <c r="P16" s="2">
        <f>VLOOKUP(A16,'[4]2021'!$A$2:$R$24,18,0)</f>
        <v>2425879.25</v>
      </c>
      <c r="Q16" s="2">
        <f>VLOOKUP(A16,'[2]2021'!$A$2:$G$24,7,0)</f>
        <v>33898.67</v>
      </c>
      <c r="R16" s="2">
        <f>VLOOKUP(A16,'[2]2021'!$A$2:$I$24,8,0)</f>
        <v>142498.23000000001</v>
      </c>
      <c r="S16" s="2">
        <f>VLOOKUP(A16,'[2]2021'!$A$2:$I$24,9,0)</f>
        <v>97552.739999999991</v>
      </c>
    </row>
    <row r="17" spans="1:19" x14ac:dyDescent="0.25">
      <c r="A17" s="1" t="s">
        <v>75</v>
      </c>
      <c r="B17" s="6">
        <f>VLOOKUP(A17,[8]Ocupação!$E$50:$F$71,2,0)</f>
        <v>475.25</v>
      </c>
      <c r="C17" s="2">
        <f>VLOOKUP(A17,'[1]2021'!$A$1:$D$22,4,0)</f>
        <v>23250508.660000004</v>
      </c>
      <c r="D17" s="2"/>
      <c r="E17" s="2"/>
      <c r="F17" s="2">
        <f>VLOOKUP(A17,'[3]2021'!$A$2:$H$24,8,0)</f>
        <v>204431.82</v>
      </c>
      <c r="G17" s="2">
        <f>VLOOKUP(A17,'[3]2021'!$A$2:$I$24,9,0)</f>
        <v>69164.7</v>
      </c>
      <c r="H17" s="2">
        <f>VLOOKUP(A17,'[6]2021'!$A$2:$F$24,6,0)</f>
        <v>622805.23</v>
      </c>
      <c r="I17" s="2">
        <f>VLOOKUP(A17,'[2]2021'!$A$2:$C$24,3,0)</f>
        <v>31077.670000000013</v>
      </c>
      <c r="J17" s="2">
        <f>VLOOKUP(A17,'[2]2021'!$A$2:$E$24,4,0)</f>
        <v>3213.5</v>
      </c>
      <c r="K17" s="2">
        <f>VLOOKUP(A17,'[5]2021'!$A$2:$M$24,13,0)</f>
        <v>0</v>
      </c>
      <c r="L17" s="2">
        <f>VLOOKUP(A17,'[2]2021'!$A$2:$E$24,5,0)</f>
        <v>0</v>
      </c>
      <c r="M17" s="2">
        <f>VLOOKUP(A17,'[3]2021'!$A$2:$O$24,15,0)</f>
        <v>6863.16</v>
      </c>
      <c r="N17" s="2">
        <f>VLOOKUP(A17,'[2]2021'!$A$2:$F$24,6,0)</f>
        <v>43753.95</v>
      </c>
      <c r="O17" s="2">
        <f>VLOOKUP(A17,'[7]2021'!$A$2:$C$24,3,0)</f>
        <v>55937.02</v>
      </c>
      <c r="P17" s="2">
        <f>VLOOKUP(A17,'[4]2021'!$A$2:$R$24,18,0)</f>
        <v>2429303.04</v>
      </c>
      <c r="Q17" s="2">
        <f>VLOOKUP(A17,'[2]2021'!$A$2:$G$24,7,0)</f>
        <v>38791.520000000004</v>
      </c>
      <c r="R17" s="2">
        <f>VLOOKUP(A17,'[2]2021'!$A$2:$I$24,8,0)</f>
        <v>450815.88</v>
      </c>
      <c r="S17" s="2">
        <f>VLOOKUP(A17,'[2]2021'!$A$2:$I$24,9,0)</f>
        <v>36733.11</v>
      </c>
    </row>
    <row r="18" spans="1:19" x14ac:dyDescent="0.25">
      <c r="A18" s="1" t="s">
        <v>80</v>
      </c>
      <c r="B18" s="6">
        <f>VLOOKUP(A18,[8]Ocupação!$E$50:$F$71,2,0)</f>
        <v>245.58333333333334</v>
      </c>
      <c r="C18" s="2">
        <f>VLOOKUP(A18,'[1]2021'!$A$1:$D$22,4,0)</f>
        <v>23418767.95000001</v>
      </c>
      <c r="D18" s="2"/>
      <c r="E18" s="2"/>
      <c r="F18" s="2">
        <f>VLOOKUP(A18,'[3]2021'!$A$2:$H$24,8,0)</f>
        <v>251540.1</v>
      </c>
      <c r="G18" s="2">
        <f>VLOOKUP(A18,'[3]2021'!$A$2:$I$24,9,0)</f>
        <v>57253.21</v>
      </c>
      <c r="H18" s="2">
        <f>VLOOKUP(A18,'[6]2021'!$A$2:$F$24,6,0)</f>
        <v>600135.13</v>
      </c>
      <c r="I18" s="2">
        <f>VLOOKUP(A18,'[2]2021'!$A$2:$C$24,3,0)</f>
        <v>14646.749999999995</v>
      </c>
      <c r="J18" s="2">
        <f>VLOOKUP(A18,'[2]2021'!$A$2:$E$24,4,0)</f>
        <v>6602.0499999999984</v>
      </c>
      <c r="K18" s="2">
        <f>VLOOKUP(A18,'[5]2021'!$A$2:$M$24,13,0)</f>
        <v>0</v>
      </c>
      <c r="L18" s="2">
        <f>VLOOKUP(A18,'[2]2021'!$A$2:$E$24,5,0)</f>
        <v>0</v>
      </c>
      <c r="M18" s="2">
        <f>VLOOKUP(A18,'[3]2021'!$A$2:$O$24,15,0)</f>
        <v>6863.16</v>
      </c>
      <c r="N18" s="2">
        <f>VLOOKUP(A18,'[2]2021'!$A$2:$F$24,6,0)</f>
        <v>28320.59</v>
      </c>
      <c r="O18" s="2">
        <f>VLOOKUP(A18,'[7]2021'!$A$2:$C$24,3,0)</f>
        <v>28224.58</v>
      </c>
      <c r="P18" s="2">
        <f>VLOOKUP(A18,'[4]2021'!$A$2:$R$24,18,0)</f>
        <v>1189651.5299999998</v>
      </c>
      <c r="Q18" s="2">
        <f>VLOOKUP(A18,'[2]2021'!$A$2:$G$24,7,0)</f>
        <v>15527.49</v>
      </c>
      <c r="R18" s="2">
        <f>VLOOKUP(A18,'[2]2021'!$A$2:$I$24,8,0)</f>
        <v>425079.58</v>
      </c>
      <c r="S18" s="2">
        <f>VLOOKUP(A18,'[2]2021'!$A$2:$I$24,9,0)</f>
        <v>34598.759999999995</v>
      </c>
    </row>
    <row r="19" spans="1:19" x14ac:dyDescent="0.25">
      <c r="A19" s="1" t="s">
        <v>85</v>
      </c>
      <c r="B19" s="6">
        <f>VLOOKUP(A19,[8]Ocupação!$E$50:$F$71,2,0)</f>
        <v>1195</v>
      </c>
      <c r="C19" s="2">
        <f>VLOOKUP(A19,'[1]2021'!$A$1:$D$22,4,0)</f>
        <v>25801995.570000086</v>
      </c>
      <c r="D19" s="2"/>
      <c r="E19" s="2"/>
      <c r="F19" s="2">
        <f>VLOOKUP(A19,'[3]2021'!$A$2:$H$24,8,0)</f>
        <v>206044.77</v>
      </c>
      <c r="G19" s="2">
        <f>VLOOKUP(A19,'[3]2021'!$A$2:$I$24,9,0)</f>
        <v>22397.96</v>
      </c>
      <c r="H19" s="2">
        <f>VLOOKUP(A19,'[6]2021'!$A$2:$F$24,6,0)</f>
        <v>470604.31</v>
      </c>
      <c r="I19" s="2">
        <f>VLOOKUP(A19,'[2]2021'!$A$2:$C$24,3,0)</f>
        <v>43073.329999999994</v>
      </c>
      <c r="J19" s="2">
        <f>VLOOKUP(A19,'[2]2021'!$A$2:$E$24,4,0)</f>
        <v>10420.129999999999</v>
      </c>
      <c r="K19" s="2">
        <f>VLOOKUP(A19,'[5]2021'!$A$2:$M$24,13,0)</f>
        <v>0</v>
      </c>
      <c r="L19" s="2">
        <f>VLOOKUP(A19,'[2]2021'!$A$2:$E$24,5,0)</f>
        <v>0</v>
      </c>
      <c r="M19" s="2">
        <f>VLOOKUP(A19,'[3]2021'!$A$2:$O$24,15,0)</f>
        <v>6863.16</v>
      </c>
      <c r="N19" s="2">
        <f>VLOOKUP(A19,'[2]2021'!$A$2:$F$24,6,0)</f>
        <v>211629.70999999996</v>
      </c>
      <c r="O19" s="2">
        <f>VLOOKUP(A19,'[7]2021'!$A$2:$C$24,3,0)</f>
        <v>65135.040000000001</v>
      </c>
      <c r="P19" s="2">
        <f>VLOOKUP(A19,'[4]2021'!$A$2:$R$24,18,0)</f>
        <v>5726670.1299999999</v>
      </c>
      <c r="Q19" s="2">
        <f>VLOOKUP(A19,'[2]2021'!$A$2:$G$24,7,0)</f>
        <v>61413.94</v>
      </c>
      <c r="R19" s="2">
        <f>VLOOKUP(A19,'[2]2021'!$A$2:$I$24,8,0)</f>
        <v>72363.070000000007</v>
      </c>
      <c r="S19" s="2">
        <f>VLOOKUP(A19,'[2]2021'!$A$2:$I$24,9,0)</f>
        <v>67514.13999999997</v>
      </c>
    </row>
    <row r="20" spans="1:19" x14ac:dyDescent="0.25">
      <c r="A20" s="1" t="s">
        <v>90</v>
      </c>
      <c r="B20" s="6">
        <f>VLOOKUP(A20,[8]Ocupação!$E$50:$F$71,2,0)</f>
        <v>1397.5833333333333</v>
      </c>
      <c r="C20" s="2">
        <f>VLOOKUP(A20,'[1]2021'!$A$1:$D$22,4,0)</f>
        <v>25696366.769999947</v>
      </c>
      <c r="D20" s="2"/>
      <c r="E20" s="2"/>
      <c r="F20" s="2">
        <f>VLOOKUP(A20,'[3]2021'!$A$2:$H$24,8,0)</f>
        <v>254185.06</v>
      </c>
      <c r="G20" s="2">
        <f>VLOOKUP(A20,'[3]2021'!$A$2:$I$24,9,0)</f>
        <v>63236.800000000003</v>
      </c>
      <c r="H20" s="2">
        <f>VLOOKUP(A20,'[6]2021'!$A$2:$F$24,6,0)</f>
        <v>118670.92</v>
      </c>
      <c r="I20" s="2">
        <f>VLOOKUP(A20,'[2]2021'!$A$2:$C$24,3,0)</f>
        <v>19272.100000000002</v>
      </c>
      <c r="J20" s="2">
        <f>VLOOKUP(A20,'[2]2021'!$A$2:$E$24,4,0)</f>
        <v>10647.060000000003</v>
      </c>
      <c r="K20" s="2">
        <f>VLOOKUP(A20,'[5]2021'!$A$2:$M$24,13,0)</f>
        <v>0</v>
      </c>
      <c r="L20" s="2">
        <f>VLOOKUP(A20,'[2]2021'!$A$2:$E$24,5,0)</f>
        <v>0</v>
      </c>
      <c r="M20" s="2">
        <f>VLOOKUP(A20,'[3]2021'!$A$2:$O$24,15,0)</f>
        <v>6863.16</v>
      </c>
      <c r="N20" s="2">
        <f>VLOOKUP(A20,'[2]2021'!$A$2:$F$24,6,0)</f>
        <v>76178.19</v>
      </c>
      <c r="O20" s="2">
        <f>VLOOKUP(A20,'[7]2021'!$A$2:$C$24,3,0)</f>
        <v>10000</v>
      </c>
      <c r="P20" s="2">
        <f>VLOOKUP(A20,'[4]2021'!$A$2:$R$24,18,0)</f>
        <v>5782224.0599999996</v>
      </c>
      <c r="Q20" s="2">
        <f>VLOOKUP(A20,'[2]2021'!$A$2:$G$24,7,0)</f>
        <v>73832.94</v>
      </c>
      <c r="R20" s="2">
        <f>VLOOKUP(A20,'[2]2021'!$A$2:$I$24,8,0)</f>
        <v>325543.51</v>
      </c>
      <c r="S20" s="2">
        <f>VLOOKUP(A20,'[2]2021'!$A$2:$I$24,9,0)</f>
        <v>135536.90000000005</v>
      </c>
    </row>
    <row r="21" spans="1:19" x14ac:dyDescent="0.25">
      <c r="A21" s="1" t="s">
        <v>95</v>
      </c>
      <c r="B21" s="6">
        <f>VLOOKUP(A21,[8]Ocupação!$E$50:$F$71,2,0)</f>
        <v>469.75</v>
      </c>
      <c r="C21" s="2">
        <f>VLOOKUP(A21,'[1]2021'!$A$1:$D$22,4,0)</f>
        <v>18274895.479999896</v>
      </c>
      <c r="D21" s="2"/>
      <c r="E21" s="2"/>
      <c r="F21" s="2">
        <f>VLOOKUP(A21,'[3]2021'!$A$2:$H$24,8,0)</f>
        <v>251847.55000000002</v>
      </c>
      <c r="G21" s="2">
        <f>VLOOKUP(A21,'[3]2021'!$A$2:$I$24,9,0)</f>
        <v>25293.019999999997</v>
      </c>
      <c r="H21" s="2">
        <f>VLOOKUP(A21,'[6]2021'!$A$2:$F$24,6,0)</f>
        <v>302324.89</v>
      </c>
      <c r="I21" s="2">
        <f>VLOOKUP(A21,'[2]2021'!$A$2:$C$24,3,0)</f>
        <v>37338.370000000003</v>
      </c>
      <c r="J21" s="2">
        <f>VLOOKUP(A21,'[2]2021'!$A$2:$E$24,4,0)</f>
        <v>7620.82</v>
      </c>
      <c r="K21" s="2">
        <f>VLOOKUP(A21,'[5]2021'!$A$2:$M$24,13,0)</f>
        <v>0</v>
      </c>
      <c r="L21" s="2">
        <f>VLOOKUP(A21,'[2]2021'!$A$2:$E$24,5,0)</f>
        <v>0</v>
      </c>
      <c r="M21" s="2">
        <f>VLOOKUP(A21,'[3]2021'!$A$2:$O$24,15,0)</f>
        <v>6863.16</v>
      </c>
      <c r="N21" s="2">
        <f>VLOOKUP(A21,'[2]2021'!$A$2:$F$24,6,0)</f>
        <v>88132.39</v>
      </c>
      <c r="O21" s="2">
        <f>VLOOKUP(A21,'[7]2021'!$A$2:$C$24,3,0)</f>
        <v>0</v>
      </c>
      <c r="P21" s="2">
        <f>VLOOKUP(A21,'[4]2021'!$A$2:$R$24,18,0)</f>
        <v>1983257.52</v>
      </c>
      <c r="Q21" s="2">
        <f>VLOOKUP(A21,'[2]2021'!$A$2:$G$24,7,0)</f>
        <v>45906.520000000004</v>
      </c>
      <c r="R21" s="2">
        <f>VLOOKUP(A21,'[2]2021'!$A$2:$I$24,8,0)</f>
        <v>63009.479999999996</v>
      </c>
      <c r="S21" s="2">
        <f>VLOOKUP(A21,'[2]2021'!$A$2:$I$24,9,0)</f>
        <v>108890.22999999988</v>
      </c>
    </row>
    <row r="22" spans="1:19" x14ac:dyDescent="0.25">
      <c r="A22" s="1" t="s">
        <v>100</v>
      </c>
      <c r="B22" s="6">
        <f>VLOOKUP(A22,[8]Ocupação!$E$50:$F$71,2,0)</f>
        <v>889.75</v>
      </c>
      <c r="C22" s="2">
        <f>VLOOKUP(A22,'[1]2021'!$A$1:$D$22,4,0)</f>
        <v>31186231.420000028</v>
      </c>
      <c r="D22" s="2"/>
      <c r="E22" s="2"/>
      <c r="F22" s="2">
        <f>VLOOKUP(A22,'[3]2021'!$A$2:$H$24,8,0)</f>
        <v>6223.26</v>
      </c>
      <c r="G22" s="2">
        <f>VLOOKUP(A22,'[3]2021'!$A$2:$I$24,9,0)</f>
        <v>31823.75</v>
      </c>
      <c r="H22" s="2">
        <f>VLOOKUP(A22,'[6]2021'!$A$2:$F$24,6,0)</f>
        <v>458451.77</v>
      </c>
      <c r="I22" s="2">
        <f>VLOOKUP(A22,'[2]2021'!$A$2:$C$24,3,0)</f>
        <v>37864.849999999984</v>
      </c>
      <c r="J22" s="2">
        <f>VLOOKUP(A22,'[2]2021'!$A$2:$E$24,4,0)</f>
        <v>8674.1500000000015</v>
      </c>
      <c r="K22" s="2">
        <f>VLOOKUP(A22,'[5]2021'!$A$2:$M$24,13,0)</f>
        <v>0</v>
      </c>
      <c r="L22" s="2">
        <f>VLOOKUP(A22,'[2]2021'!$A$2:$E$24,5,0)</f>
        <v>20.77</v>
      </c>
      <c r="M22" s="2">
        <f>VLOOKUP(A22,'[3]2021'!$A$2:$O$24,15,0)</f>
        <v>6863.16</v>
      </c>
      <c r="N22" s="2">
        <f>VLOOKUP(A22,'[2]2021'!$A$2:$F$24,6,0)</f>
        <v>239273.31000000003</v>
      </c>
      <c r="O22" s="2">
        <f>VLOOKUP(A22,'[7]2021'!$A$2:$C$24,3,0)</f>
        <v>62488.06</v>
      </c>
      <c r="P22" s="2">
        <f>VLOOKUP(A22,'[4]2021'!$A$2:$R$24,18,0)</f>
        <v>4511262.88</v>
      </c>
      <c r="Q22" s="2">
        <f>VLOOKUP(A22,'[2]2021'!$A$2:$G$24,7,0)</f>
        <v>27982.54</v>
      </c>
      <c r="R22" s="2">
        <f>VLOOKUP(A22,'[2]2021'!$A$2:$I$24,8,0)</f>
        <v>186370.93000000002</v>
      </c>
      <c r="S22" s="2">
        <f>VLOOKUP(A22,'[2]2021'!$A$2:$I$24,9,0)</f>
        <v>114247.03999999994</v>
      </c>
    </row>
    <row r="23" spans="1:19" x14ac:dyDescent="0.25">
      <c r="A23" s="1" t="s">
        <v>105</v>
      </c>
      <c r="B23" s="6">
        <f>VLOOKUP(A23,[8]Ocupação!$E$50:$F$71,2,0)</f>
        <v>664.58333333333337</v>
      </c>
      <c r="C23" s="2" t="e">
        <f>VLOOKUP(A23,'[1]2021'!$A$1:$D$22,4,0)</f>
        <v>#N/A</v>
      </c>
      <c r="D23" s="2"/>
      <c r="E23" s="2"/>
      <c r="F23" s="2" t="str">
        <f>VLOOKUP(A23,'[3]2021'!$A$2:$H$24,8,0)</f>
        <v>NA</v>
      </c>
      <c r="G23" s="2" t="str">
        <f>VLOOKUP(A23,'[3]2021'!$A$2:$I$24,9,0)</f>
        <v>NA</v>
      </c>
      <c r="H23" s="2">
        <f>VLOOKUP(A23,'[6]2021'!$A$2:$F$24,6,0)</f>
        <v>92679.830000000016</v>
      </c>
      <c r="I23" s="2">
        <f>VLOOKUP(A23,'[2]2021'!$A$2:$C$24,3,0)</f>
        <v>0</v>
      </c>
      <c r="J23" s="2">
        <f>VLOOKUP(A23,'[2]2021'!$A$2:$E$24,4,0)</f>
        <v>0</v>
      </c>
      <c r="K23" s="2">
        <f>VLOOKUP(A23,'[5]2021'!$A$2:$M$24,13,0)</f>
        <v>0</v>
      </c>
      <c r="L23" s="2">
        <f>VLOOKUP(A23,'[2]2021'!$A$2:$E$24,5,0)</f>
        <v>1164.95</v>
      </c>
      <c r="M23" s="2" t="str">
        <f>VLOOKUP(A23,'[3]2021'!$A$2:$O$24,15,0)</f>
        <v>NA</v>
      </c>
      <c r="N23" s="2">
        <f>VLOOKUP(A23,'[2]2021'!$A$2:$F$24,6,0)</f>
        <v>74472.490000000005</v>
      </c>
      <c r="O23" s="2">
        <f>VLOOKUP(A23,'[7]2021'!$A$2:$C$24,3,0)</f>
        <v>0</v>
      </c>
      <c r="P23" s="2">
        <f>VLOOKUP(A23,'[4]2021'!$A$2:$R$24,18,0)</f>
        <v>331305.45</v>
      </c>
      <c r="Q23" s="2">
        <f>VLOOKUP(A23,'[2]2021'!$A$2:$G$24,7,0)</f>
        <v>0</v>
      </c>
      <c r="R23" s="2">
        <f>VLOOKUP(A23,'[2]2021'!$A$2:$I$24,8,0)</f>
        <v>0</v>
      </c>
      <c r="S23" s="2">
        <f>VLOOKUP(A23,'[2]2021'!$A$2:$I$24,9,0)</f>
        <v>0</v>
      </c>
    </row>
    <row r="24" spans="1:19" x14ac:dyDescent="0.25">
      <c r="A24" s="1" t="s">
        <v>109</v>
      </c>
      <c r="B24" s="6">
        <f>VLOOKUP(A24,[8]Ocupação!$E$50:$F$71,2,0)</f>
        <v>662.91666666666663</v>
      </c>
      <c r="C24" s="2" t="e">
        <f>VLOOKUP(A24,'[1]2021'!$A$1:$D$22,4,0)</f>
        <v>#N/A</v>
      </c>
      <c r="D24" s="2"/>
      <c r="E24" s="2"/>
      <c r="F24" s="2" t="str">
        <f>VLOOKUP(A24,'[3]2021'!$A$2:$H$24,8,0)</f>
        <v>NA</v>
      </c>
      <c r="G24" s="2" t="str">
        <f>VLOOKUP(A24,'[3]2021'!$A$2:$I$24,9,0)</f>
        <v>NA</v>
      </c>
      <c r="H24" s="2">
        <f>VLOOKUP(A24,'[6]2021'!$A$2:$F$24,6,0)</f>
        <v>0</v>
      </c>
      <c r="I24" s="2" t="str">
        <f>VLOOKUP(A24,'[2]2021'!$A$2:$C$24,3,0)</f>
        <v>N/A</v>
      </c>
      <c r="J24" s="2" t="str">
        <f>VLOOKUP(A24,'[2]2021'!$A$2:$E$24,4,0)</f>
        <v>N/A</v>
      </c>
      <c r="K24" s="2">
        <f>VLOOKUP(A24,'[5]2021'!$A$2:$M$24,13,0)</f>
        <v>0</v>
      </c>
      <c r="L24" s="2" t="str">
        <f>VLOOKUP(A24,'[2]2021'!$A$2:$E$24,5,0)</f>
        <v>N/A</v>
      </c>
      <c r="M24" s="2" t="str">
        <f>VLOOKUP(A24,'[3]2021'!$A$2:$O$24,15,0)</f>
        <v>NA</v>
      </c>
      <c r="N24" s="2" t="str">
        <f>VLOOKUP(A24,'[2]2021'!$A$2:$F$24,6,0)</f>
        <v>N/A</v>
      </c>
      <c r="O24" s="2">
        <f>VLOOKUP(A24,'[7]2021'!$A$2:$C$24,3,0)</f>
        <v>0</v>
      </c>
      <c r="P24" s="2">
        <f>VLOOKUP(A24,'[4]2021'!$A$2:$R$24,18,0)</f>
        <v>0</v>
      </c>
      <c r="Q24" s="2" t="str">
        <f>VLOOKUP(A24,'[2]2021'!$A$2:$G$24,7,0)</f>
        <v>N/A</v>
      </c>
      <c r="R24" s="2" t="str">
        <f>VLOOKUP(A24,'[2]2021'!$A$2:$I$24,8,0)</f>
        <v>N/A</v>
      </c>
      <c r="S24" s="2" t="str">
        <f>VLOOKUP(A24,'[2]2021'!$A$2:$I$24,9,0)</f>
        <v>N/A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Identificação</vt:lpstr>
      <vt:lpstr>2019</vt:lpstr>
      <vt:lpstr>2020</vt:lpstr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Elida Martins</dc:creator>
  <cp:lastModifiedBy>Elida Martins</cp:lastModifiedBy>
  <dcterms:created xsi:type="dcterms:W3CDTF">2022-12-12T15:01:59Z</dcterms:created>
  <dcterms:modified xsi:type="dcterms:W3CDTF">2024-09-07T20:34:47Z</dcterms:modified>
</cp:coreProperties>
</file>